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96" yWindow="552" windowWidth="19812" windowHeight="7368" tabRatio="751" activeTab="2"/>
  </bookViews>
  <sheets>
    <sheet name="data" sheetId="19" r:id="rId1"/>
    <sheet name="TTrCDB" sheetId="1" r:id="rId2"/>
    <sheet name="BangKe" sheetId="2" r:id="rId3"/>
    <sheet name="BangKe_None" sheetId="8" r:id="rId4"/>
    <sheet name="RuaXe" sheetId="9" r:id="rId5"/>
    <sheet name="Ungdau" sheetId="13" r:id="rId6"/>
    <sheet name="DieuXe" sheetId="21" r:id="rId7"/>
    <sheet name="GiayDieuXe" sheetId="20" r:id="rId8"/>
    <sheet name="Xin xe" sheetId="23" r:id="rId9"/>
    <sheet name="XinXeNone" sheetId="25" r:id="rId10"/>
    <sheet name="DanhMuc" sheetId="24" r:id="rId11"/>
    <sheet name="drap" sheetId="26" r:id="rId12"/>
  </sheets>
  <externalReferences>
    <externalReference r:id="rId13"/>
  </externalReferences>
  <definedNames>
    <definedName name="_xlnm._FilterDatabase" localSheetId="2" hidden="1">BangKe!$B$8:$I$363</definedName>
    <definedName name="_xlnm._FilterDatabase" localSheetId="3" hidden="1">BangKe_None!$D$8:$I$179</definedName>
    <definedName name="_xlnm._FilterDatabase" localSheetId="11" hidden="1">drap!$D$1:$F$264</definedName>
    <definedName name="_xlnm._FilterDatabase" localSheetId="1" hidden="1">TTrCDB!$D$11:$I$21</definedName>
    <definedName name="_xlnm._FilterDatabase" localSheetId="5" hidden="1">Ungdau!$E$1:$E$41</definedName>
    <definedName name="CongTac">DieuXe!A$22</definedName>
    <definedName name="dieuxe">DieuXe!$A:$J</definedName>
    <definedName name="Gio_di">DieuXe!XFD$2</definedName>
    <definedName name="GioDen">DieuXe!B$2</definedName>
    <definedName name="loaixe">DieuXe!XFC$2</definedName>
    <definedName name="NgayDen">DieuXe!A$2</definedName>
    <definedName name="NgayDi">DieuXe!XFC$2</definedName>
    <definedName name="NgayXin">DieuXe!B$2</definedName>
    <definedName name="NoiDen">DieuXe!C$2</definedName>
    <definedName name="Phong_xin">DieuXe!XEZ$2</definedName>
    <definedName name="_xlnm.Print_Area" localSheetId="2">BangKe!$D$1:$H$372</definedName>
    <definedName name="_xlnm.Print_Area" localSheetId="3">BangKe_None!$D$1:$H$187</definedName>
    <definedName name="_xlnm.Print_Area" localSheetId="7">GiayDieuXe!$D$1:$M$32</definedName>
    <definedName name="_xlnm.Print_Area" localSheetId="1">TTrCDB!$D$1:$H$32</definedName>
    <definedName name="_xlnm.Print_Area" localSheetId="5">Ungdau!$B$2:$D$41</definedName>
    <definedName name="_xlnm.Print_Area" localSheetId="9">XinXeNone!$B$1:$B$40</definedName>
    <definedName name="_xlnm.Print_Titles" localSheetId="2">BangKe!$8:$8</definedName>
    <definedName name="tab">REPT(" ",10)</definedName>
  </definedNames>
  <calcPr calcId="144525" concurrentCalc="0"/>
</workbook>
</file>

<file path=xl/calcChain.xml><?xml version="1.0" encoding="utf-8"?>
<calcChain xmlns="http://schemas.openxmlformats.org/spreadsheetml/2006/main">
  <c r="G366" i="2" l="1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G364" i="2"/>
  <c r="D365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D11" i="20"/>
  <c r="D6" i="20"/>
  <c r="D5" i="20"/>
  <c r="D4" i="20"/>
  <c r="G10" i="25"/>
  <c r="B17" i="25"/>
  <c r="B16" i="25"/>
  <c r="F21" i="25"/>
  <c r="B13" i="25"/>
  <c r="B11" i="25"/>
  <c r="D3" i="25"/>
  <c r="E1" i="25"/>
  <c r="B10" i="25"/>
  <c r="B2" i="21"/>
  <c r="C2" i="21"/>
  <c r="D2" i="21"/>
  <c r="E2" i="21"/>
  <c r="F2" i="21"/>
  <c r="G2" i="21"/>
  <c r="H2" i="21"/>
  <c r="I2" i="21"/>
  <c r="J2" i="21"/>
  <c r="A2" i="21"/>
  <c r="E1" i="23"/>
  <c r="B13" i="23"/>
  <c r="E16" i="23"/>
  <c r="D16" i="23"/>
  <c r="B11" i="23"/>
  <c r="F20" i="23"/>
  <c r="D3" i="23"/>
  <c r="B10" i="23"/>
  <c r="B16" i="23"/>
  <c r="D8" i="20"/>
  <c r="D24" i="20"/>
  <c r="D23" i="20"/>
  <c r="D22" i="20"/>
  <c r="D10" i="20"/>
  <c r="D9" i="20"/>
  <c r="D7" i="20"/>
  <c r="I16" i="1"/>
  <c r="G27" i="1"/>
  <c r="H4" i="1"/>
  <c r="H4" i="2"/>
  <c r="G372" i="2"/>
  <c r="E372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D2" i="19"/>
  <c r="C2" i="19"/>
  <c r="B2" i="19"/>
  <c r="A2" i="19"/>
  <c r="D7" i="2"/>
  <c r="A14" i="1"/>
  <c r="J4" i="13"/>
  <c r="C41" i="13"/>
  <c r="B41" i="13"/>
  <c r="B31" i="13"/>
  <c r="B33" i="13"/>
  <c r="D29" i="13"/>
  <c r="F14" i="13"/>
  <c r="B11" i="13"/>
  <c r="G9" i="13"/>
  <c r="B9" i="13"/>
  <c r="D7" i="13"/>
  <c r="H3" i="13"/>
  <c r="A13" i="1"/>
  <c r="A15" i="1"/>
  <c r="A12" i="1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7" i="2"/>
  <c r="B28" i="2"/>
  <c r="B29" i="2"/>
  <c r="B30" i="2"/>
  <c r="B31" i="2"/>
  <c r="B32" i="2"/>
  <c r="B33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7" i="2"/>
  <c r="B68" i="2"/>
  <c r="B69" i="2"/>
  <c r="B70" i="2"/>
  <c r="B71" i="2"/>
  <c r="B72" i="2"/>
  <c r="B73" i="2"/>
  <c r="B75" i="2"/>
  <c r="B76" i="2"/>
  <c r="B77" i="2"/>
  <c r="B78" i="2"/>
  <c r="B79" i="2"/>
  <c r="B80" i="2"/>
  <c r="B81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1" i="2"/>
  <c r="B132" i="2"/>
  <c r="B133" i="2"/>
  <c r="B134" i="2"/>
  <c r="B135" i="2"/>
  <c r="B136" i="2"/>
  <c r="B137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355" i="2"/>
  <c r="B356" i="2"/>
  <c r="B357" i="2"/>
  <c r="B358" i="2"/>
  <c r="B359" i="2"/>
  <c r="B360" i="2"/>
  <c r="B361" i="2"/>
  <c r="B362" i="2"/>
  <c r="B363" i="2"/>
  <c r="D9" i="2"/>
  <c r="L9" i="1"/>
  <c r="K9" i="1"/>
  <c r="D9" i="1"/>
  <c r="B82" i="2"/>
  <c r="B34" i="2"/>
  <c r="B66" i="2"/>
  <c r="B74" i="2"/>
  <c r="B83" i="2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I160" i="8"/>
  <c r="B160" i="8"/>
  <c r="I159" i="8"/>
  <c r="B159" i="8"/>
  <c r="I158" i="8"/>
  <c r="B158" i="8"/>
  <c r="I157" i="8"/>
  <c r="B157" i="8"/>
  <c r="I156" i="8"/>
  <c r="B156" i="8"/>
  <c r="I155" i="8"/>
  <c r="B155" i="8"/>
  <c r="I154" i="8"/>
  <c r="B154" i="8"/>
  <c r="I153" i="8"/>
  <c r="B153" i="8"/>
  <c r="I152" i="8"/>
  <c r="B152" i="8"/>
  <c r="I151" i="8"/>
  <c r="B151" i="8"/>
  <c r="I150" i="8"/>
  <c r="B150" i="8"/>
  <c r="I149" i="8"/>
  <c r="B149" i="8"/>
  <c r="I148" i="8"/>
  <c r="B148" i="8"/>
  <c r="I147" i="8"/>
  <c r="B147" i="8"/>
  <c r="I146" i="8"/>
  <c r="B146" i="8"/>
  <c r="I145" i="8"/>
  <c r="B145" i="8"/>
  <c r="I144" i="8"/>
  <c r="B144" i="8"/>
  <c r="I143" i="8"/>
  <c r="B143" i="8"/>
  <c r="I142" i="8"/>
  <c r="B142" i="8"/>
  <c r="I141" i="8"/>
  <c r="B141" i="8"/>
  <c r="I140" i="8"/>
  <c r="B140" i="8"/>
  <c r="I139" i="8"/>
  <c r="B139" i="8"/>
  <c r="I138" i="8"/>
  <c r="B138" i="8"/>
  <c r="I137" i="8"/>
  <c r="B137" i="8"/>
  <c r="I136" i="8"/>
  <c r="B136" i="8"/>
  <c r="I135" i="8"/>
  <c r="B135" i="8"/>
  <c r="I134" i="8"/>
  <c r="B134" i="8"/>
  <c r="I133" i="8"/>
  <c r="B133" i="8"/>
  <c r="I132" i="8"/>
  <c r="B132" i="8"/>
  <c r="I131" i="8"/>
  <c r="B131" i="8"/>
  <c r="I130" i="8"/>
  <c r="B130" i="8"/>
  <c r="I129" i="8"/>
  <c r="B129" i="8"/>
  <c r="I128" i="8"/>
  <c r="B128" i="8"/>
  <c r="I127" i="8"/>
  <c r="B127" i="8"/>
  <c r="I126" i="8"/>
  <c r="B126" i="8"/>
  <c r="I125" i="8"/>
  <c r="B125" i="8"/>
  <c r="I124" i="8"/>
  <c r="B124" i="8"/>
  <c r="I123" i="8"/>
  <c r="B123" i="8"/>
  <c r="I122" i="8"/>
  <c r="B122" i="8"/>
  <c r="I121" i="8"/>
  <c r="B121" i="8"/>
  <c r="I120" i="8"/>
  <c r="B120" i="8"/>
  <c r="I119" i="8"/>
  <c r="B119" i="8"/>
  <c r="I118" i="8"/>
  <c r="B118" i="8"/>
  <c r="I117" i="8"/>
  <c r="B117" i="8"/>
  <c r="I116" i="8"/>
  <c r="B116" i="8"/>
  <c r="I115" i="8"/>
  <c r="B115" i="8"/>
  <c r="I114" i="8"/>
  <c r="B114" i="8"/>
  <c r="I113" i="8"/>
  <c r="B113" i="8"/>
  <c r="I112" i="8"/>
  <c r="B112" i="8"/>
  <c r="I111" i="8"/>
  <c r="B111" i="8"/>
  <c r="I110" i="8"/>
  <c r="B110" i="8"/>
  <c r="I109" i="8"/>
  <c r="B109" i="8"/>
  <c r="I108" i="8"/>
  <c r="B108" i="8"/>
  <c r="I107" i="8"/>
  <c r="B107" i="8"/>
  <c r="I106" i="8"/>
  <c r="B106" i="8"/>
  <c r="I105" i="8"/>
  <c r="B105" i="8"/>
  <c r="I104" i="8"/>
  <c r="B104" i="8"/>
  <c r="I103" i="8"/>
  <c r="B103" i="8"/>
  <c r="I102" i="8"/>
  <c r="B102" i="8"/>
  <c r="I101" i="8"/>
  <c r="B101" i="8"/>
  <c r="I100" i="8"/>
  <c r="B100" i="8"/>
  <c r="I99" i="8"/>
  <c r="B99" i="8"/>
  <c r="I98" i="8"/>
  <c r="B98" i="8"/>
  <c r="I97" i="8"/>
  <c r="B97" i="8"/>
  <c r="I96" i="8"/>
  <c r="B96" i="8"/>
  <c r="I95" i="8"/>
  <c r="B95" i="8"/>
  <c r="I94" i="8"/>
  <c r="B94" i="8"/>
  <c r="I93" i="8"/>
  <c r="B93" i="8"/>
  <c r="I92" i="8"/>
  <c r="B92" i="8"/>
  <c r="I91" i="8"/>
  <c r="B91" i="8"/>
  <c r="I90" i="8"/>
  <c r="B90" i="8"/>
  <c r="I89" i="8"/>
  <c r="B89" i="8"/>
  <c r="I88" i="8"/>
  <c r="B88" i="8"/>
  <c r="I87" i="8"/>
  <c r="B87" i="8"/>
  <c r="I86" i="8"/>
  <c r="B86" i="8"/>
  <c r="I85" i="8"/>
  <c r="B85" i="8"/>
  <c r="I84" i="8"/>
  <c r="B84" i="8"/>
  <c r="I83" i="8"/>
  <c r="B83" i="8"/>
  <c r="I82" i="8"/>
  <c r="B82" i="8"/>
  <c r="I81" i="8"/>
  <c r="B81" i="8"/>
  <c r="I80" i="8"/>
  <c r="B80" i="8"/>
  <c r="I79" i="8"/>
  <c r="B79" i="8"/>
  <c r="I78" i="8"/>
  <c r="B78" i="8"/>
  <c r="I77" i="8"/>
  <c r="B77" i="8"/>
  <c r="I76" i="8"/>
  <c r="B76" i="8"/>
  <c r="I75" i="8"/>
  <c r="B75" i="8"/>
  <c r="I74" i="8"/>
  <c r="B74" i="8"/>
  <c r="I73" i="8"/>
  <c r="B73" i="8"/>
  <c r="I72" i="8"/>
  <c r="B72" i="8"/>
  <c r="I71" i="8"/>
  <c r="B71" i="8"/>
  <c r="I70" i="8"/>
  <c r="B70" i="8"/>
  <c r="I69" i="8"/>
  <c r="B69" i="8"/>
  <c r="I68" i="8"/>
  <c r="B68" i="8"/>
  <c r="I67" i="8"/>
  <c r="B67" i="8"/>
  <c r="I66" i="8"/>
  <c r="B66" i="8"/>
  <c r="I65" i="8"/>
  <c r="B65" i="8"/>
  <c r="I64" i="8"/>
  <c r="B64" i="8"/>
  <c r="I63" i="8"/>
  <c r="B63" i="8"/>
  <c r="I62" i="8"/>
  <c r="B62" i="8"/>
  <c r="I61" i="8"/>
  <c r="B61" i="8"/>
  <c r="I60" i="8"/>
  <c r="B60" i="8"/>
  <c r="I59" i="8"/>
  <c r="B59" i="8"/>
  <c r="I58" i="8"/>
  <c r="B58" i="8"/>
  <c r="I57" i="8"/>
  <c r="B57" i="8"/>
  <c r="I56" i="8"/>
  <c r="B56" i="8"/>
  <c r="I55" i="8"/>
  <c r="B55" i="8"/>
  <c r="I54" i="8"/>
  <c r="B54" i="8"/>
  <c r="I53" i="8"/>
  <c r="B53" i="8"/>
  <c r="I52" i="8"/>
  <c r="B52" i="8"/>
  <c r="I51" i="8"/>
  <c r="B51" i="8"/>
  <c r="I50" i="8"/>
  <c r="B50" i="8"/>
  <c r="I49" i="8"/>
  <c r="B49" i="8"/>
  <c r="I48" i="8"/>
  <c r="B48" i="8"/>
  <c r="I47" i="8"/>
  <c r="B47" i="8"/>
  <c r="I46" i="8"/>
  <c r="B46" i="8"/>
  <c r="I45" i="8"/>
  <c r="B45" i="8"/>
  <c r="I44" i="8"/>
  <c r="B44" i="8"/>
  <c r="I43" i="8"/>
  <c r="B43" i="8"/>
  <c r="I42" i="8"/>
  <c r="B42" i="8"/>
  <c r="I41" i="8"/>
  <c r="B41" i="8"/>
  <c r="I40" i="8"/>
  <c r="B40" i="8"/>
  <c r="I39" i="8"/>
  <c r="B39" i="8"/>
  <c r="I38" i="8"/>
  <c r="B38" i="8"/>
  <c r="I37" i="8"/>
  <c r="B37" i="8"/>
  <c r="I36" i="8"/>
  <c r="B36" i="8"/>
  <c r="I35" i="8"/>
  <c r="B35" i="8"/>
  <c r="I34" i="8"/>
  <c r="B34" i="8"/>
  <c r="I33" i="8"/>
  <c r="B33" i="8"/>
  <c r="I32" i="8"/>
  <c r="B32" i="8"/>
  <c r="I31" i="8"/>
  <c r="L179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H4" i="8"/>
  <c r="B130" i="2"/>
  <c r="B106" i="2"/>
  <c r="B50" i="2"/>
  <c r="B26" i="2"/>
  <c r="D19" i="1"/>
  <c r="B138" i="2"/>
  <c r="D349" i="2"/>
  <c r="D341" i="2"/>
  <c r="D333" i="2"/>
  <c r="D325" i="2"/>
  <c r="D317" i="2"/>
  <c r="D309" i="2"/>
  <c r="D301" i="2"/>
  <c r="D293" i="2"/>
  <c r="D285" i="2"/>
  <c r="D277" i="2"/>
  <c r="D269" i="2"/>
  <c r="D261" i="2"/>
  <c r="D253" i="2"/>
  <c r="D245" i="2"/>
  <c r="D237" i="2"/>
  <c r="D229" i="2"/>
  <c r="D221" i="2"/>
  <c r="D213" i="2"/>
  <c r="D205" i="2"/>
  <c r="D197" i="2"/>
  <c r="D189" i="2"/>
  <c r="D181" i="2"/>
  <c r="D173" i="2"/>
  <c r="D354" i="2"/>
  <c r="D346" i="2"/>
  <c r="D338" i="2"/>
  <c r="D330" i="2"/>
  <c r="D322" i="2"/>
  <c r="D314" i="2"/>
  <c r="D306" i="2"/>
  <c r="D298" i="2"/>
  <c r="D290" i="2"/>
  <c r="D282" i="2"/>
  <c r="D274" i="2"/>
  <c r="D266" i="2"/>
  <c r="D258" i="2"/>
  <c r="D250" i="2"/>
  <c r="D242" i="2"/>
  <c r="D234" i="2"/>
  <c r="D226" i="2"/>
  <c r="D218" i="2"/>
  <c r="D210" i="2"/>
  <c r="D202" i="2"/>
  <c r="D194" i="2"/>
  <c r="D186" i="2"/>
  <c r="D178" i="2"/>
  <c r="D170" i="2"/>
  <c r="D351" i="2"/>
  <c r="D343" i="2"/>
  <c r="D335" i="2"/>
  <c r="D327" i="2"/>
  <c r="D319" i="2"/>
  <c r="D311" i="2"/>
  <c r="D303" i="2"/>
  <c r="D295" i="2"/>
  <c r="D287" i="2"/>
  <c r="D279" i="2"/>
  <c r="D271" i="2"/>
  <c r="D263" i="2"/>
  <c r="D255" i="2"/>
  <c r="D247" i="2"/>
  <c r="D239" i="2"/>
  <c r="D231" i="2"/>
  <c r="D223" i="2"/>
  <c r="D215" i="2"/>
  <c r="D207" i="2"/>
  <c r="D199" i="2"/>
  <c r="D191" i="2"/>
  <c r="D183" i="2"/>
  <c r="D348" i="2"/>
  <c r="D340" i="2"/>
  <c r="D332" i="2"/>
  <c r="D324" i="2"/>
  <c r="D316" i="2"/>
  <c r="D308" i="2"/>
  <c r="D300" i="2"/>
  <c r="D292" i="2"/>
  <c r="D284" i="2"/>
  <c r="D276" i="2"/>
  <c r="D268" i="2"/>
  <c r="D260" i="2"/>
  <c r="D252" i="2"/>
  <c r="D244" i="2"/>
  <c r="D236" i="2"/>
  <c r="D228" i="2"/>
  <c r="D220" i="2"/>
  <c r="D212" i="2"/>
  <c r="D204" i="2"/>
  <c r="D196" i="2"/>
  <c r="D188" i="2"/>
  <c r="D180" i="2"/>
  <c r="D172" i="2"/>
  <c r="D238" i="2"/>
  <c r="D222" i="2"/>
  <c r="D190" i="2"/>
  <c r="D174" i="2"/>
  <c r="D304" i="2"/>
  <c r="D288" i="2"/>
  <c r="D248" i="2"/>
  <c r="D232" i="2"/>
  <c r="D200" i="2"/>
  <c r="D184" i="2"/>
  <c r="D175" i="2"/>
  <c r="D353" i="2"/>
  <c r="D345" i="2"/>
  <c r="D337" i="2"/>
  <c r="D329" i="2"/>
  <c r="D321" i="2"/>
  <c r="D313" i="2"/>
  <c r="D305" i="2"/>
  <c r="D297" i="2"/>
  <c r="D289" i="2"/>
  <c r="D281" i="2"/>
  <c r="D273" i="2"/>
  <c r="D265" i="2"/>
  <c r="D257" i="2"/>
  <c r="D249" i="2"/>
  <c r="D241" i="2"/>
  <c r="D233" i="2"/>
  <c r="D225" i="2"/>
  <c r="D217" i="2"/>
  <c r="D209" i="2"/>
  <c r="D201" i="2"/>
  <c r="D193" i="2"/>
  <c r="D185" i="2"/>
  <c r="D177" i="2"/>
  <c r="D169" i="2"/>
  <c r="D230" i="2"/>
  <c r="D214" i="2"/>
  <c r="D198" i="2"/>
  <c r="D182" i="2"/>
  <c r="D280" i="2"/>
  <c r="D264" i="2"/>
  <c r="D216" i="2"/>
  <c r="D176" i="2"/>
  <c r="D350" i="2"/>
  <c r="D342" i="2"/>
  <c r="D334" i="2"/>
  <c r="D326" i="2"/>
  <c r="D318" i="2"/>
  <c r="D310" i="2"/>
  <c r="D302" i="2"/>
  <c r="D294" i="2"/>
  <c r="D286" i="2"/>
  <c r="D278" i="2"/>
  <c r="D270" i="2"/>
  <c r="D262" i="2"/>
  <c r="D254" i="2"/>
  <c r="D246" i="2"/>
  <c r="D206" i="2"/>
  <c r="D320" i="2"/>
  <c r="D296" i="2"/>
  <c r="D224" i="2"/>
  <c r="D168" i="2"/>
  <c r="D347" i="2"/>
  <c r="D339" i="2"/>
  <c r="D331" i="2"/>
  <c r="D323" i="2"/>
  <c r="D315" i="2"/>
  <c r="D307" i="2"/>
  <c r="D299" i="2"/>
  <c r="D291" i="2"/>
  <c r="D283" i="2"/>
  <c r="D275" i="2"/>
  <c r="D267" i="2"/>
  <c r="D259" i="2"/>
  <c r="D251" i="2"/>
  <c r="D243" i="2"/>
  <c r="D235" i="2"/>
  <c r="D227" i="2"/>
  <c r="D219" i="2"/>
  <c r="D211" i="2"/>
  <c r="D203" i="2"/>
  <c r="D195" i="2"/>
  <c r="D187" i="2"/>
  <c r="D179" i="2"/>
  <c r="D171" i="2"/>
  <c r="D352" i="2"/>
  <c r="D344" i="2"/>
  <c r="D336" i="2"/>
  <c r="D328" i="2"/>
  <c r="D312" i="2"/>
  <c r="D272" i="2"/>
  <c r="D256" i="2"/>
  <c r="D240" i="2"/>
  <c r="D208" i="2"/>
  <c r="D192" i="2"/>
  <c r="D69" i="2"/>
  <c r="B9" i="2"/>
  <c r="D363" i="2"/>
  <c r="D359" i="2"/>
  <c r="D355" i="2"/>
  <c r="D164" i="2"/>
  <c r="D160" i="2"/>
  <c r="D156" i="2"/>
  <c r="D152" i="2"/>
  <c r="D148" i="2"/>
  <c r="D144" i="2"/>
  <c r="D360" i="2"/>
  <c r="D356" i="2"/>
  <c r="D165" i="2"/>
  <c r="D161" i="2"/>
  <c r="D157" i="2"/>
  <c r="D153" i="2"/>
  <c r="D149" i="2"/>
  <c r="D145" i="2"/>
  <c r="D12" i="2"/>
  <c r="D16" i="2"/>
  <c r="D18" i="2"/>
  <c r="D22" i="2"/>
  <c r="D24" i="2"/>
  <c r="D28" i="2"/>
  <c r="D32" i="2"/>
  <c r="D38" i="2"/>
  <c r="D40" i="2"/>
  <c r="D44" i="2"/>
  <c r="D48" i="2"/>
  <c r="D50" i="2"/>
  <c r="D54" i="2"/>
  <c r="D58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6" i="2"/>
  <c r="D150" i="2"/>
  <c r="D154" i="2"/>
  <c r="D158" i="2"/>
  <c r="D162" i="2"/>
  <c r="D166" i="2"/>
  <c r="D357" i="2"/>
  <c r="D361" i="2"/>
  <c r="D13" i="2"/>
  <c r="B10" i="2"/>
  <c r="D11" i="2"/>
  <c r="D15" i="2"/>
  <c r="D17" i="2"/>
  <c r="D21" i="2"/>
  <c r="D23" i="2"/>
  <c r="D27" i="2"/>
  <c r="D31" i="2"/>
  <c r="D37" i="2"/>
  <c r="D39" i="2"/>
  <c r="D43" i="2"/>
  <c r="D47" i="2"/>
  <c r="D49" i="2"/>
  <c r="D53" i="2"/>
  <c r="D57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0" i="2"/>
  <c r="D14" i="2"/>
  <c r="D20" i="2"/>
  <c r="D26" i="2"/>
  <c r="D30" i="2"/>
  <c r="D34" i="2"/>
  <c r="D36" i="2"/>
  <c r="D42" i="2"/>
  <c r="D46" i="2"/>
  <c r="D52" i="2"/>
  <c r="D56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7" i="2"/>
  <c r="D151" i="2"/>
  <c r="D155" i="2"/>
  <c r="D159" i="2"/>
  <c r="D163" i="2"/>
  <c r="D167" i="2"/>
  <c r="D358" i="2"/>
  <c r="D362" i="2"/>
  <c r="D19" i="2"/>
  <c r="D25" i="2"/>
  <c r="D29" i="2"/>
  <c r="D33" i="2"/>
  <c r="D35" i="2"/>
  <c r="D41" i="2"/>
  <c r="D45" i="2"/>
  <c r="D51" i="2"/>
  <c r="D55" i="2"/>
  <c r="D61" i="2"/>
  <c r="D65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B31" i="8"/>
  <c r="G179" i="8"/>
  <c r="F14" i="1"/>
  <c r="H14" i="1"/>
  <c r="I14" i="1"/>
  <c r="F12" i="1"/>
  <c r="F13" i="1"/>
  <c r="H13" i="1"/>
  <c r="I13" i="1"/>
  <c r="F15" i="1"/>
  <c r="H15" i="1"/>
  <c r="I15" i="1"/>
  <c r="H12" i="1"/>
  <c r="D14" i="1"/>
  <c r="D12" i="1"/>
  <c r="D15" i="1"/>
  <c r="D13" i="1"/>
  <c r="H17" i="1"/>
  <c r="I17" i="1"/>
  <c r="I12" i="1"/>
  <c r="G12" i="13"/>
  <c r="G34" i="13"/>
  <c r="E36" i="13"/>
  <c r="E32" i="13"/>
  <c r="E40" i="13"/>
  <c r="E30" i="13"/>
  <c r="E26" i="13"/>
  <c r="B34" i="13"/>
  <c r="E41" i="13"/>
  <c r="E27" i="13"/>
  <c r="E35" i="13"/>
  <c r="E37" i="13"/>
  <c r="E29" i="13"/>
  <c r="H34" i="13"/>
  <c r="E33" i="13"/>
  <c r="E31" i="13"/>
  <c r="E38" i="13"/>
  <c r="E23" i="13"/>
  <c r="E24" i="13"/>
  <c r="E25" i="13"/>
  <c r="E34" i="13"/>
  <c r="E39" i="13"/>
  <c r="E28" i="13"/>
  <c r="E14" i="13"/>
  <c r="E5" i="13"/>
  <c r="E13" i="13"/>
  <c r="E12" i="13"/>
  <c r="E20" i="13"/>
  <c r="E9" i="13"/>
  <c r="E3" i="13"/>
  <c r="E7" i="13"/>
  <c r="E10" i="13"/>
  <c r="E15" i="13"/>
  <c r="E18" i="13"/>
  <c r="E4" i="13"/>
  <c r="E2" i="13"/>
  <c r="E21" i="13"/>
  <c r="E16" i="13"/>
  <c r="E11" i="13"/>
  <c r="E19" i="13"/>
  <c r="E17" i="13"/>
  <c r="E8" i="13"/>
  <c r="E6" i="13"/>
  <c r="B12" i="13"/>
  <c r="E22" i="13"/>
  <c r="L364" i="2"/>
  <c r="D18" i="1"/>
</calcChain>
</file>

<file path=xl/sharedStrings.xml><?xml version="1.0" encoding="utf-8"?>
<sst xmlns="http://schemas.openxmlformats.org/spreadsheetml/2006/main" count="287" uniqueCount="203">
  <si>
    <t>TỜ TRÌNH ĐỀ NGHỊ THANH TOÁN</t>
  </si>
  <si>
    <t>Kính gửi: Giám đốc Điện Lực Xuân Lộc.</t>
  </si>
  <si>
    <t xml:space="preserve">từ </t>
  </si>
  <si>
    <t>đến</t>
  </si>
  <si>
    <t xml:space="preserve">             Nay, Phòng kính trình Giám đốc Điện lực duyệt cấp chi phí như sau:</t>
  </si>
  <si>
    <t>STT</t>
  </si>
  <si>
    <t>Nội dung</t>
  </si>
  <si>
    <t>Số lượt</t>
  </si>
  <si>
    <t>Đơn giá/lượt
(đồng)</t>
  </si>
  <si>
    <t>Thành tiền
(đồng)</t>
  </si>
  <si>
    <t>x</t>
  </si>
  <si>
    <t>Cước đường bộ</t>
  </si>
  <si>
    <t xml:space="preserve"> Kính trình Giám đốc xem xét chấp thuận.</t>
  </si>
  <si>
    <t>TRƯỞNG PHÒNG</t>
  </si>
  <si>
    <t>GIÁM ĐỐC</t>
  </si>
  <si>
    <t>Phạm Quang Vĩnh Phú</t>
  </si>
  <si>
    <t>Hồ Thị Túy Trúc</t>
  </si>
  <si>
    <t>từ</t>
  </si>
  <si>
    <t>BẢNG KÊ PHÍ CẦU ĐƯỜNG</t>
  </si>
  <si>
    <t>Xe Zace biển số 60L - 2638</t>
  </si>
  <si>
    <t>Ngày đi</t>
  </si>
  <si>
    <t>Số chứng từ</t>
  </si>
  <si>
    <t>Số tiền
(đồng)</t>
  </si>
  <si>
    <t>Ghi chú</t>
  </si>
  <si>
    <t>0615572</t>
  </si>
  <si>
    <t>0528155</t>
  </si>
  <si>
    <t>0375581</t>
  </si>
  <si>
    <t>0374855</t>
  </si>
  <si>
    <t>0355345</t>
  </si>
  <si>
    <t>0375030</t>
  </si>
  <si>
    <t>0518580</t>
  </si>
  <si>
    <t>0637228</t>
  </si>
  <si>
    <t>0510882</t>
  </si>
  <si>
    <t>0513444</t>
  </si>
  <si>
    <t>0520569</t>
  </si>
  <si>
    <t>0510789</t>
  </si>
  <si>
    <t>0613219</t>
  </si>
  <si>
    <t>0868028</t>
  </si>
  <si>
    <t>0650753</t>
  </si>
  <si>
    <t>0635378</t>
  </si>
  <si>
    <t>0692796</t>
  </si>
  <si>
    <t>0681841</t>
  </si>
  <si>
    <t>0477478</t>
  </si>
  <si>
    <t>0843458</t>
  </si>
  <si>
    <t>0480823</t>
  </si>
  <si>
    <t>0812783</t>
  </si>
  <si>
    <t>0817747</t>
  </si>
  <si>
    <t>0860292</t>
  </si>
  <si>
    <t>0917030</t>
  </si>
  <si>
    <t>0916923</t>
  </si>
  <si>
    <t>0854748</t>
  </si>
  <si>
    <t>0919124</t>
  </si>
  <si>
    <t>0743529</t>
  </si>
  <si>
    <t>0612531</t>
  </si>
  <si>
    <t>0802847</t>
  </si>
  <si>
    <t>0684018</t>
  </si>
  <si>
    <t>0800426</t>
  </si>
  <si>
    <t>0684328</t>
  </si>
  <si>
    <t>0048848</t>
  </si>
  <si>
    <t>0071178</t>
  </si>
  <si>
    <t>Tổng cộng:</t>
  </si>
  <si>
    <t>NGƯỜI LẬP</t>
  </si>
  <si>
    <t>Lâm Phạm Duy</t>
  </si>
  <si>
    <t>Ngày</t>
  </si>
  <si>
    <t>Huyện Xuân Lộc</t>
  </si>
  <si>
    <t>ID</t>
  </si>
  <si>
    <t>0192816</t>
  </si>
  <si>
    <t>0169429</t>
  </si>
  <si>
    <t>Mẫu 01/TNDN – Bảng kê thu mua hàng hóa dịch vụ không có hóa đơn ban hành kèm theo Thông tư số 78/2014/TT-BTC</t>
  </si>
  <si>
    <t>CÔNG TY TNHH MỘT THÀNH VIÊN</t>
  </si>
  <si>
    <t>Tháng</t>
  </si>
  <si>
    <t>ĐIỆN LỰC ĐỒNG NAI</t>
  </si>
  <si>
    <t>Trang</t>
  </si>
  <si>
    <t>ĐIỆN LỰC XUÂN LỘC</t>
  </si>
  <si>
    <t>GIẤY ĐỀ NGHỊ CẤP NHIÊN LIỆU</t>
  </si>
  <si>
    <t>Bộ phận: Đội QLVH ĐD &amp; TBA.</t>
  </si>
  <si>
    <t>Tạm ứng dầu cho xe bán tải 60C-321.90</t>
  </si>
  <si>
    <t>NGƯỜI ĐỀ NGHỊ</t>
  </si>
  <si>
    <t>PHỤ TRÁCH BỘ PHẬN</t>
  </si>
  <si>
    <t>.</t>
  </si>
  <si>
    <t>Lê Ngọc Thanh</t>
  </si>
  <si>
    <t>Bộ phận: Phòng Tổng Hợp.</t>
  </si>
  <si>
    <t>Lần</t>
  </si>
  <si>
    <t xml:space="preserve"> </t>
  </si>
  <si>
    <t>Tạm ứng dầu cho xe 7 chỗ BKS 60L - 2638</t>
  </si>
  <si>
    <t>0995693</t>
  </si>
  <si>
    <t>0966330</t>
  </si>
  <si>
    <t>1511085</t>
  </si>
  <si>
    <t>1190791</t>
  </si>
  <si>
    <t>1198115</t>
  </si>
  <si>
    <t>0978275</t>
  </si>
  <si>
    <t>0986782</t>
  </si>
  <si>
    <t>6036245</t>
  </si>
  <si>
    <t>1347643</t>
  </si>
  <si>
    <t>2019086</t>
  </si>
  <si>
    <t>1632072</t>
  </si>
  <si>
    <t>1672993</t>
  </si>
  <si>
    <t>1254386</t>
  </si>
  <si>
    <t>0972863</t>
  </si>
  <si>
    <t>1084564</t>
  </si>
  <si>
    <t>1241890</t>
  </si>
  <si>
    <t>1628196</t>
  </si>
  <si>
    <t>1639892</t>
  </si>
  <si>
    <t>1192546</t>
  </si>
  <si>
    <t>1174539</t>
  </si>
  <si>
    <t>1490296</t>
  </si>
  <si>
    <t>1666239</t>
  </si>
  <si>
    <t>1439150</t>
  </si>
  <si>
    <t>1444423</t>
  </si>
  <si>
    <t>1519971</t>
  </si>
  <si>
    <t>1547979</t>
  </si>
  <si>
    <t>1668078</t>
  </si>
  <si>
    <t>1670682</t>
  </si>
  <si>
    <t>1243569</t>
  </si>
  <si>
    <t>1352279</t>
  </si>
  <si>
    <t>1415139</t>
  </si>
  <si>
    <t>1648482</t>
  </si>
  <si>
    <t>Loại xe</t>
  </si>
  <si>
    <t>thời gian sử dụng</t>
  </si>
  <si>
    <t>Lần trước</t>
  </si>
  <si>
    <t>Lê Ngọc Nam</t>
  </si>
  <si>
    <t>02/2004</t>
  </si>
  <si>
    <t>Nguyễn Thanh Trí</t>
  </si>
  <si>
    <t>11/2007</t>
  </si>
  <si>
    <t>Lái xe</t>
  </si>
  <si>
    <t>16 chỗ BKS 60L - 7048</t>
  </si>
  <si>
    <t>tải cẩu biển số 60M - 9250</t>
  </si>
  <si>
    <t>Zace biển số 60L - 2638</t>
  </si>
  <si>
    <t>0203172</t>
  </si>
  <si>
    <t>0016107</t>
  </si>
  <si>
    <t>0264554</t>
  </si>
  <si>
    <t>0266406</t>
  </si>
  <si>
    <t>0272597</t>
  </si>
  <si>
    <t>0278264</t>
  </si>
  <si>
    <t>0270565</t>
  </si>
  <si>
    <t>0276958</t>
  </si>
  <si>
    <t>0284664</t>
  </si>
  <si>
    <t>0298891</t>
  </si>
  <si>
    <t>Ngày công tác</t>
  </si>
  <si>
    <t>Nơi nhận:</t>
  </si>
  <si>
    <t>-Như trên;</t>
  </si>
  <si>
    <t>- Phòng TC-KT;</t>
  </si>
  <si>
    <t>- Lưu VT, TH.</t>
  </si>
  <si>
    <t>tải cẩu biển số 60L - 2169</t>
  </si>
  <si>
    <t>Nguyễn Lâm Hải</t>
  </si>
  <si>
    <t>PHÓ TRƯỞNG PHÒNG</t>
  </si>
  <si>
    <t>GIẤY ĐIỀU XE ĐI CÔNG TÁC</t>
  </si>
  <si>
    <t>TL. GIÁM ĐỐC</t>
  </si>
  <si>
    <t>PHÒNG TỔNG HỢP</t>
  </si>
  <si>
    <t>PHỤ TRÁCH ĐIỀU XE</t>
  </si>
  <si>
    <t>Đoàn Duy Quang</t>
  </si>
  <si>
    <t>LÁI XE</t>
  </si>
  <si>
    <t>XÁC NHẬN KIỂM TRA</t>
  </si>
  <si>
    <t>`</t>
  </si>
  <si>
    <t>Công ty TNHH một thành viên Điện lực Đồng Nai</t>
  </si>
  <si>
    <t>Huyện Long Thành</t>
  </si>
  <si>
    <t>Thành phố Hồ Chí Minh</t>
  </si>
  <si>
    <t>Trường Cao đẳng Điện lực TP.HCM</t>
  </si>
  <si>
    <t>Phòng Kinh doanh</t>
  </si>
  <si>
    <t>PHÒNG KINH DOANH</t>
  </si>
  <si>
    <t>Phòng Tài chính - Kế toán</t>
  </si>
  <si>
    <t>PHÒNG TC - KT</t>
  </si>
  <si>
    <t>Phòng Kế hoạch - Kỹ thuật</t>
  </si>
  <si>
    <t>PHÒNG KH - KT</t>
  </si>
  <si>
    <t>Phòng Tổng Hợp</t>
  </si>
  <si>
    <t>TỜ TRÌNH</t>
  </si>
  <si>
    <t>Đội QLVH ĐD&amp;TBA</t>
  </si>
  <si>
    <t>ĐỘI QLVH ĐD&amp;TBA</t>
  </si>
  <si>
    <t>Về việc xin xe phục vụ công tác</t>
  </si>
  <si>
    <t>Ban Giám đốc</t>
  </si>
  <si>
    <t xml:space="preserve">Kính gửi: Giám Đốc Điện lực Xuân Lộc.      </t>
  </si>
  <si>
    <t>Xin theo Công văn</t>
  </si>
  <si>
    <t xml:space="preserve">         </t>
  </si>
  <si>
    <t xml:space="preserve">         Thời gian và địa điểm: </t>
  </si>
  <si>
    <t xml:space="preserve">         Kính trình Giám đốc xem xét chấp thuận.</t>
  </si>
  <si>
    <t>Phùng Tiến Nga</t>
  </si>
  <si>
    <t>9</t>
  </si>
  <si>
    <t xml:space="preserve">         Tên công trình hoặc công việc: Phát ấn phẩm cho 15 xã, thị trấn.</t>
  </si>
  <si>
    <t xml:space="preserve">         Thành phần: Phòng Tổng Hợp.</t>
  </si>
  <si>
    <t xml:space="preserve">         - Tại: Huyện Xuân Lộc.</t>
  </si>
  <si>
    <t xml:space="preserve">         Loại xe: Xe 15 chỗ.</t>
  </si>
  <si>
    <t>Xe</t>
  </si>
  <si>
    <t>PTP. TỔNG HỢP</t>
  </si>
  <si>
    <t>CongTac</t>
  </si>
  <si>
    <t>PhongXin</t>
  </si>
  <si>
    <t>NgayXin</t>
  </si>
  <si>
    <t>NoiDen</t>
  </si>
  <si>
    <t>NgayDi</t>
  </si>
  <si>
    <t>GioDi</t>
  </si>
  <si>
    <t>NgayDen</t>
  </si>
  <si>
    <t>GioDen</t>
  </si>
  <si>
    <t>TT</t>
  </si>
  <si>
    <t xml:space="preserve">         Tên công trình hoặc công việc: Đi công tác.</t>
  </si>
  <si>
    <t xml:space="preserve">    tháng     </t>
  </si>
  <si>
    <t xml:space="preserve">    tháng     năm 2019</t>
  </si>
  <si>
    <t xml:space="preserve">    giờ     phút,</t>
  </si>
  <si>
    <t xml:space="preserve">         - Tại: Công ty TNHH một thành viên Điện lực Đồng Nai.</t>
  </si>
  <si>
    <t xml:space="preserve">         Thành phần: ……………………………….</t>
  </si>
  <si>
    <t>………………………………………………………………………………………….</t>
  </si>
  <si>
    <t>60L - 2719</t>
  </si>
  <si>
    <t xml:space="preserve">         Loại xe: Xe Inova BKS: 60L - 2719.</t>
  </si>
  <si>
    <t>Toyota - Inova biển số 60A-607.73</t>
  </si>
  <si>
    <t>04/2019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</si>
</sst>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-* #,##0\ _₫_-;\-* #,##0\ _₫_-;_-* &quot;-&quot;??\ _₫_-;_-@"/>
    <numFmt numFmtId="165" formatCode="00"/>
    <numFmt numFmtId="166" formatCode="0000000"/>
    <numFmt numFmtId="167" formatCode="0.0"/>
  </numFmts>
  <fonts count="36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3"/>
      <color rgb="FF000000"/>
      <name val="Times New Roman"/>
      <family val="1"/>
    </font>
    <font>
      <i/>
      <sz val="13"/>
      <name val="Times New Roman"/>
      <family val="1"/>
    </font>
    <font>
      <b/>
      <sz val="14"/>
      <color rgb="FF000000"/>
      <name val="Times New Roman"/>
      <family val="1"/>
    </font>
    <font>
      <sz val="11"/>
      <name val="Calibri"/>
      <family val="2"/>
    </font>
    <font>
      <b/>
      <sz val="13"/>
      <color rgb="FF000000"/>
      <name val="Times New Roman"/>
      <family val="1"/>
    </font>
    <font>
      <i/>
      <sz val="13"/>
      <color rgb="FF000000"/>
      <name val="Times New Roman"/>
      <family val="1"/>
    </font>
    <font>
      <b/>
      <i/>
      <sz val="13"/>
      <color rgb="FF000000"/>
      <name val="Times New Roman"/>
      <family val="1"/>
    </font>
    <font>
      <b/>
      <i/>
      <sz val="12"/>
      <color rgb="FF000000"/>
      <name val="Times New Roman"/>
      <family val="1"/>
    </font>
    <font>
      <sz val="11"/>
      <color rgb="FF000000"/>
      <name val="Times New Roman"/>
      <family val="1"/>
    </font>
    <font>
      <sz val="13"/>
      <color rgb="FFFF0000"/>
      <name val="Times New Roman"/>
      <family val="1"/>
    </font>
    <font>
      <sz val="13"/>
      <name val="Times New Roman"/>
      <family val="1"/>
    </font>
    <font>
      <sz val="10"/>
      <name val="Arial"/>
      <family val="2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4"/>
      <name val="Arial"/>
      <family val="2"/>
    </font>
    <font>
      <i/>
      <sz val="13"/>
      <color rgb="FFFF0000"/>
      <name val="Times New Roman"/>
      <family val="1"/>
    </font>
    <font>
      <sz val="10"/>
      <name val="Arial"/>
      <family val="2"/>
    </font>
    <font>
      <b/>
      <sz val="10"/>
      <name val="VnBookman"/>
    </font>
    <font>
      <b/>
      <sz val="9"/>
      <name val="VnBookman"/>
    </font>
    <font>
      <sz val="13"/>
      <color theme="1"/>
      <name val="Times New Roman"/>
      <family val="2"/>
      <charset val="163"/>
    </font>
    <font>
      <sz val="13"/>
      <color theme="1"/>
      <name val="Times New Roman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rgb="FF000000"/>
      <name val="Calibri"/>
      <family val="2"/>
    </font>
    <font>
      <sz val="14"/>
      <color rgb="FF000000"/>
      <name val="Times New Roman"/>
      <family val="1"/>
    </font>
    <font>
      <b/>
      <sz val="16"/>
      <color rgb="FF000000"/>
      <name val="Times New Roman"/>
      <family val="1"/>
    </font>
    <font>
      <sz val="8"/>
      <color rgb="FF000000"/>
      <name val="Times New Roman"/>
      <family val="1"/>
    </font>
    <font>
      <sz val="12"/>
      <name val="Times New Roman"/>
      <family val="1"/>
    </font>
    <font>
      <sz val="13"/>
      <name val="Arial"/>
      <family val="2"/>
    </font>
    <font>
      <sz val="14"/>
      <name val="Times New Roman"/>
      <family val="1"/>
    </font>
    <font>
      <b/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rgb="FFFFFFFF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0">
    <xf numFmtId="0" fontId="0" fillId="0" borderId="0"/>
    <xf numFmtId="0" fontId="12" fillId="0" borderId="1"/>
    <xf numFmtId="0" fontId="20" fillId="0" borderId="1"/>
    <xf numFmtId="43" fontId="13" fillId="0" borderId="1" applyFont="0" applyFill="0" applyBorder="0" applyAlignment="0" applyProtection="0"/>
    <xf numFmtId="0" fontId="21" fillId="4" borderId="9" applyNumberFormat="0" applyBorder="0"/>
    <xf numFmtId="165" fontId="22" fillId="1" borderId="10" applyNumberFormat="0" applyBorder="0" applyAlignment="0">
      <alignment horizontal="centerContinuous"/>
    </xf>
    <xf numFmtId="0" fontId="23" fillId="0" borderId="1"/>
    <xf numFmtId="0" fontId="1" fillId="0" borderId="1"/>
    <xf numFmtId="0" fontId="13" fillId="0" borderId="1">
      <alignment vertical="top"/>
    </xf>
    <xf numFmtId="0" fontId="24" fillId="0" borderId="1"/>
    <xf numFmtId="0" fontId="1" fillId="0" borderId="1"/>
    <xf numFmtId="0" fontId="24" fillId="0" borderId="1"/>
    <xf numFmtId="0" fontId="24" fillId="0" borderId="1"/>
    <xf numFmtId="0" fontId="1" fillId="0" borderId="1"/>
    <xf numFmtId="0" fontId="23" fillId="0" borderId="1"/>
    <xf numFmtId="0" fontId="1" fillId="0" borderId="1"/>
    <xf numFmtId="9" fontId="13" fillId="0" borderId="1" quotePrefix="1" applyFont="0" applyFill="0" applyBorder="0" applyAlignment="0">
      <protection locked="0"/>
    </xf>
    <xf numFmtId="0" fontId="25" fillId="0" borderId="1">
      <alignment vertical="top"/>
    </xf>
    <xf numFmtId="0" fontId="12" fillId="0" borderId="11">
      <alignment horizontal="center" vertical="center"/>
    </xf>
    <xf numFmtId="0" fontId="17" fillId="0" borderId="1"/>
  </cellStyleXfs>
  <cellXfs count="162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10" fillId="0" borderId="0" xfId="0" quotePrefix="1" applyFont="1"/>
    <xf numFmtId="0" fontId="10" fillId="0" borderId="0" xfId="0" applyFont="1"/>
    <xf numFmtId="0" fontId="7" fillId="2" borderId="1" xfId="0" applyFont="1" applyFill="1" applyBorder="1" applyAlignment="1">
      <alignment horizontal="right"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3" fontId="2" fillId="0" borderId="3" xfId="0" applyNumberFormat="1" applyFont="1" applyBorder="1" applyAlignment="1">
      <alignment horizontal="center" vertical="center"/>
    </xf>
    <xf numFmtId="0" fontId="0" fillId="0" borderId="0" xfId="0" applyFont="1"/>
    <xf numFmtId="0" fontId="2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vertical="center"/>
    </xf>
    <xf numFmtId="164" fontId="6" fillId="0" borderId="6" xfId="0" applyNumberFormat="1" applyFont="1" applyBorder="1" applyAlignment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left" vertical="center"/>
    </xf>
    <xf numFmtId="14" fontId="2" fillId="0" borderId="0" xfId="0" applyNumberFormat="1" applyFont="1"/>
    <xf numFmtId="14" fontId="6" fillId="0" borderId="3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0" xfId="0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7" fillId="0" borderId="0" xfId="0" applyFont="1" applyAlignment="1"/>
    <xf numFmtId="0" fontId="0" fillId="0" borderId="0" xfId="0" applyFont="1" applyAlignment="1"/>
    <xf numFmtId="0" fontId="12" fillId="0" borderId="1" xfId="1"/>
    <xf numFmtId="0" fontId="12" fillId="0" borderId="1" xfId="1" applyAlignment="1">
      <alignment vertical="center"/>
    </xf>
    <xf numFmtId="0" fontId="12" fillId="0" borderId="1" xfId="1" applyFont="1" applyAlignment="1">
      <alignment horizontal="centerContinuous" vertical="center"/>
    </xf>
    <xf numFmtId="0" fontId="12" fillId="0" borderId="1" xfId="1" applyAlignment="1">
      <alignment horizontal="centerContinuous" vertical="center"/>
    </xf>
    <xf numFmtId="0" fontId="3" fillId="0" borderId="1" xfId="1" applyFont="1" applyAlignment="1">
      <alignment horizontal="right" vertical="center"/>
    </xf>
    <xf numFmtId="0" fontId="12" fillId="0" borderId="1" xfId="1" applyAlignment="1">
      <alignment horizontal="right" vertical="center"/>
    </xf>
    <xf numFmtId="0" fontId="11" fillId="0" borderId="1" xfId="1" applyFont="1"/>
    <xf numFmtId="0" fontId="14" fillId="0" borderId="1" xfId="1" applyFont="1" applyAlignment="1">
      <alignment horizontal="centerContinuous" vertical="center"/>
    </xf>
    <xf numFmtId="0" fontId="12" fillId="3" borderId="1" xfId="1" applyFill="1" applyAlignment="1">
      <alignment vertical="center"/>
    </xf>
    <xf numFmtId="14" fontId="12" fillId="3" borderId="1" xfId="1" applyNumberFormat="1" applyFill="1" applyAlignment="1">
      <alignment vertical="center"/>
    </xf>
    <xf numFmtId="0" fontId="18" fillId="0" borderId="1" xfId="1" applyFont="1" applyAlignment="1">
      <alignment vertical="center"/>
    </xf>
    <xf numFmtId="0" fontId="15" fillId="0" borderId="1" xfId="1" applyFont="1" applyAlignment="1">
      <alignment horizontal="centerContinuous" vertical="center"/>
    </xf>
    <xf numFmtId="0" fontId="18" fillId="0" borderId="1" xfId="1" applyFont="1" applyAlignment="1">
      <alignment horizontal="centerContinuous" vertical="center"/>
    </xf>
    <xf numFmtId="0" fontId="12" fillId="0" borderId="1" xfId="1" applyFont="1" applyAlignment="1">
      <alignment vertical="center"/>
    </xf>
    <xf numFmtId="0" fontId="19" fillId="0" borderId="1" xfId="1" applyFont="1" applyAlignment="1">
      <alignment horizontal="right" vertical="center"/>
    </xf>
    <xf numFmtId="0" fontId="11" fillId="3" borderId="1" xfId="1" applyFont="1" applyFill="1"/>
    <xf numFmtId="0" fontId="15" fillId="0" borderId="1" xfId="1" applyFont="1" applyAlignment="1">
      <alignment horizontal="center" vertical="center"/>
    </xf>
    <xf numFmtId="0" fontId="18" fillId="0" borderId="1" xfId="1" applyFont="1" applyAlignment="1">
      <alignment horizontal="center"/>
    </xf>
    <xf numFmtId="0" fontId="15" fillId="0" borderId="1" xfId="1" applyFont="1" applyAlignment="1">
      <alignment horizontal="center"/>
    </xf>
    <xf numFmtId="0" fontId="15" fillId="0" borderId="1" xfId="2" applyFont="1" applyAlignment="1">
      <alignment horizontal="centerContinuous" vertical="center"/>
    </xf>
    <xf numFmtId="0" fontId="12" fillId="0" borderId="1" xfId="1" applyAlignment="1">
      <alignment horizontal="right"/>
    </xf>
    <xf numFmtId="0" fontId="12" fillId="0" borderId="1" xfId="1" applyBorder="1"/>
    <xf numFmtId="0" fontId="12" fillId="0" borderId="1" xfId="1" applyAlignment="1">
      <alignment horizontal="centerContinuous"/>
    </xf>
    <xf numFmtId="0" fontId="14" fillId="0" borderId="1" xfId="1" applyFont="1" applyAlignment="1">
      <alignment horizontal="centerContinuous"/>
    </xf>
    <xf numFmtId="14" fontId="12" fillId="0" borderId="1" xfId="1" applyNumberFormat="1" applyFill="1" applyAlignment="1">
      <alignment vertical="center"/>
    </xf>
    <xf numFmtId="0" fontId="12" fillId="0" borderId="1" xfId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/>
    <xf numFmtId="0" fontId="26" fillId="0" borderId="0" xfId="0" applyFont="1" applyAlignment="1">
      <alignment horizontal="center" vertical="center"/>
    </xf>
    <xf numFmtId="0" fontId="0" fillId="0" borderId="0" xfId="0" quotePrefix="1"/>
    <xf numFmtId="0" fontId="27" fillId="0" borderId="0" xfId="0" applyFont="1" applyAlignment="1">
      <alignment horizontal="center" vertical="center"/>
    </xf>
    <xf numFmtId="166" fontId="2" fillId="0" borderId="3" xfId="0" applyNumberFormat="1" applyFont="1" applyBorder="1" applyAlignment="1">
      <alignment horizontal="center" vertical="center"/>
    </xf>
    <xf numFmtId="166" fontId="2" fillId="0" borderId="3" xfId="0" quotePrefix="1" applyNumberFormat="1" applyFont="1" applyBorder="1" applyAlignment="1">
      <alignment horizontal="center" vertical="center"/>
    </xf>
    <xf numFmtId="166" fontId="2" fillId="0" borderId="8" xfId="0" applyNumberFormat="1" applyFont="1" applyBorder="1" applyAlignment="1">
      <alignment horizontal="center" vertical="center"/>
    </xf>
    <xf numFmtId="0" fontId="9" fillId="0" borderId="0" xfId="0" applyFont="1" applyAlignment="1"/>
    <xf numFmtId="0" fontId="10" fillId="0" borderId="0" xfId="0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65" fontId="2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9" fillId="0" borderId="12" xfId="0" applyFont="1" applyBorder="1" applyAlignment="1">
      <alignment vertical="center"/>
    </xf>
    <xf numFmtId="0" fontId="0" fillId="0" borderId="12" xfId="0" applyFont="1" applyBorder="1" applyAlignment="1"/>
    <xf numFmtId="0" fontId="17" fillId="0" borderId="12" xfId="0" applyFont="1" applyBorder="1" applyAlignment="1"/>
    <xf numFmtId="0" fontId="0" fillId="0" borderId="0" xfId="0" applyFont="1" applyAlignment="1"/>
    <xf numFmtId="0" fontId="0" fillId="3" borderId="0" xfId="0" applyFont="1" applyFill="1" applyAlignment="1"/>
    <xf numFmtId="0" fontId="0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17" fillId="3" borderId="0" xfId="0" applyFont="1" applyFill="1" applyAlignment="1"/>
    <xf numFmtId="0" fontId="12" fillId="0" borderId="1" xfId="19" applyFont="1"/>
    <xf numFmtId="0" fontId="12" fillId="0" borderId="1" xfId="19" applyFont="1" applyAlignment="1">
      <alignment horizontal="center"/>
    </xf>
    <xf numFmtId="0" fontId="12" fillId="0" borderId="1" xfId="19" applyFont="1" applyAlignment="1">
      <alignment horizontal="center" vertical="center"/>
    </xf>
    <xf numFmtId="0" fontId="12" fillId="5" borderId="1" xfId="19" applyFont="1" applyFill="1" applyBorder="1" applyAlignment="1">
      <alignment horizontal="center" vertical="center"/>
    </xf>
    <xf numFmtId="14" fontId="12" fillId="0" borderId="1" xfId="19" applyNumberFormat="1" applyFont="1" applyAlignment="1">
      <alignment horizontal="center" vertical="center"/>
    </xf>
    <xf numFmtId="0" fontId="13" fillId="0" borderId="1" xfId="19" applyFont="1"/>
    <xf numFmtId="0" fontId="13" fillId="0" borderId="1" xfId="19" applyFont="1" applyAlignment="1">
      <alignment horizontal="center" vertical="center"/>
    </xf>
    <xf numFmtId="0" fontId="5" fillId="0" borderId="1" xfId="19" applyFont="1" applyAlignment="1"/>
    <xf numFmtId="0" fontId="32" fillId="0" borderId="1" xfId="19" applyFont="1" applyAlignment="1">
      <alignment horizontal="center" vertical="center"/>
    </xf>
    <xf numFmtId="0" fontId="3" fillId="0" borderId="1" xfId="19" applyFont="1"/>
    <xf numFmtId="0" fontId="14" fillId="0" borderId="1" xfId="19" applyFont="1" applyAlignment="1">
      <alignment horizontal="center"/>
    </xf>
    <xf numFmtId="0" fontId="14" fillId="0" borderId="1" xfId="19" applyFont="1" applyAlignment="1">
      <alignment horizontal="center" vertical="center"/>
    </xf>
    <xf numFmtId="167" fontId="12" fillId="0" borderId="1" xfId="19" applyNumberFormat="1" applyFont="1" applyAlignment="1">
      <alignment horizontal="center" vertical="center"/>
    </xf>
    <xf numFmtId="0" fontId="14" fillId="0" borderId="1" xfId="19" applyFont="1"/>
    <xf numFmtId="0" fontId="12" fillId="0" borderId="1" xfId="19" applyFont="1" applyAlignment="1">
      <alignment vertical="center"/>
    </xf>
    <xf numFmtId="0" fontId="13" fillId="0" borderId="1" xfId="19" applyFont="1" applyAlignment="1">
      <alignment vertical="center"/>
    </xf>
    <xf numFmtId="0" fontId="12" fillId="0" borderId="1" xfId="19" applyFont="1" applyAlignment="1">
      <alignment horizontal="left" vertical="center" wrapText="1"/>
    </xf>
    <xf numFmtId="0" fontId="13" fillId="0" borderId="1" xfId="19" applyFont="1" applyAlignment="1">
      <alignment wrapText="1"/>
    </xf>
    <xf numFmtId="49" fontId="33" fillId="0" borderId="1" xfId="19" applyNumberFormat="1" applyFont="1" applyAlignment="1">
      <alignment horizontal="center" vertical="center"/>
    </xf>
    <xf numFmtId="0" fontId="12" fillId="0" borderId="1" xfId="19" applyFont="1" applyAlignment="1">
      <alignment wrapText="1"/>
    </xf>
    <xf numFmtId="0" fontId="12" fillId="0" borderId="1" xfId="19" applyFont="1" applyAlignment="1">
      <alignment horizontal="left" vertical="center"/>
    </xf>
    <xf numFmtId="14" fontId="12" fillId="0" borderId="1" xfId="19" applyNumberFormat="1" applyFont="1"/>
    <xf numFmtId="0" fontId="15" fillId="0" borderId="1" xfId="19" applyFont="1" applyAlignment="1">
      <alignment horizontal="center"/>
    </xf>
    <xf numFmtId="0" fontId="15" fillId="0" borderId="1" xfId="19" applyFont="1" applyAlignment="1">
      <alignment horizontal="center" vertical="center"/>
    </xf>
    <xf numFmtId="0" fontId="15" fillId="0" borderId="1" xfId="19" applyFont="1"/>
    <xf numFmtId="0" fontId="34" fillId="0" borderId="1" xfId="19" applyFont="1"/>
    <xf numFmtId="0" fontId="17" fillId="0" borderId="0" xfId="0" applyFont="1" applyAlignment="1">
      <alignment horizontal="center" vertical="center"/>
    </xf>
    <xf numFmtId="14" fontId="12" fillId="3" borderId="1" xfId="19" applyNumberFormat="1" applyFont="1" applyFill="1" applyAlignment="1">
      <alignment horizontal="center" vertical="center"/>
    </xf>
    <xf numFmtId="14" fontId="12" fillId="6" borderId="1" xfId="19" applyNumberFormat="1" applyFont="1" applyFill="1" applyBorder="1" applyAlignment="1">
      <alignment horizontal="left" vertical="center"/>
    </xf>
    <xf numFmtId="0" fontId="13" fillId="3" borderId="1" xfId="19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2" fillId="3" borderId="1" xfId="19" applyFont="1" applyFill="1" applyAlignment="1">
      <alignment horizontal="center" vertical="center"/>
    </xf>
    <xf numFmtId="166" fontId="2" fillId="0" borderId="13" xfId="0" applyNumberFormat="1" applyFont="1" applyFill="1" applyBorder="1" applyAlignment="1">
      <alignment horizontal="center" vertical="center"/>
    </xf>
    <xf numFmtId="3" fontId="2" fillId="0" borderId="1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justify" vertical="center" wrapText="1"/>
    </xf>
    <xf numFmtId="0" fontId="0" fillId="0" borderId="0" xfId="0" applyFont="1" applyAlignment="1">
      <alignment horizontal="justify"/>
    </xf>
    <xf numFmtId="0" fontId="4" fillId="0" borderId="0" xfId="0" applyFont="1" applyAlignment="1">
      <alignment horizontal="center" vertical="center"/>
    </xf>
    <xf numFmtId="0" fontId="28" fillId="0" borderId="0" xfId="0" applyFont="1" applyAlignment="1"/>
    <xf numFmtId="0" fontId="0" fillId="0" borderId="0" xfId="0" applyFont="1" applyAlignment="1"/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5" fillId="0" borderId="5" xfId="0" applyFont="1" applyBorder="1"/>
    <xf numFmtId="0" fontId="5" fillId="0" borderId="6" xfId="0" applyFont="1" applyBorder="1"/>
    <xf numFmtId="0" fontId="8" fillId="0" borderId="7" xfId="0" applyFont="1" applyBorder="1" applyAlignment="1">
      <alignment horizontal="left" vertical="center"/>
    </xf>
    <xf numFmtId="0" fontId="5" fillId="0" borderId="7" xfId="0" applyFont="1" applyBorder="1"/>
    <xf numFmtId="0" fontId="2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6" fillId="0" borderId="4" xfId="0" applyFont="1" applyBorder="1" applyAlignment="1">
      <alignment horizontal="right" vertical="center"/>
    </xf>
    <xf numFmtId="0" fontId="6" fillId="0" borderId="0" xfId="0" applyFont="1" applyAlignment="1">
      <alignment horizontal="center" vertical="top" wrapText="1"/>
    </xf>
    <xf numFmtId="0" fontId="3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3" borderId="3" xfId="0" applyNumberFormat="1" applyFont="1" applyFill="1" applyBorder="1" applyAlignment="1">
      <alignment horizontal="center" vertical="center"/>
    </xf>
    <xf numFmtId="17" fontId="0" fillId="0" borderId="0" xfId="0" quotePrefix="1" applyNumberFormat="1" applyFont="1" applyAlignment="1"/>
  </cellXfs>
  <cellStyles count="20">
    <cellStyle name="Comma 2" xfId="3"/>
    <cellStyle name="DUNG" xfId="4"/>
    <cellStyle name="LIEM" xfId="5"/>
    <cellStyle name="Normal" xfId="0" builtinId="0"/>
    <cellStyle name="Normal 2" xfId="1"/>
    <cellStyle name="Normal 2 2" xfId="6"/>
    <cellStyle name="Normal 2 3" xfId="7"/>
    <cellStyle name="Normal 3" xfId="2"/>
    <cellStyle name="Normal 4" xfId="8"/>
    <cellStyle name="Normal 4 2" xfId="9"/>
    <cellStyle name="Normal 4 3" xfId="10"/>
    <cellStyle name="Normal 5" xfId="11"/>
    <cellStyle name="Normal 6" xfId="12"/>
    <cellStyle name="Normal 6 2" xfId="13"/>
    <cellStyle name="Normal 7" xfId="14"/>
    <cellStyle name="Normal 8" xfId="19"/>
    <cellStyle name="Normal 9" xfId="15"/>
    <cellStyle name="Percent 2" xfId="16"/>
    <cellStyle name="Style 1" xfId="17"/>
    <cellStyle name="THUC" xf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571500</xdr:colOff>
      <xdr:row>0</xdr:row>
      <xdr:rowOff>0</xdr:rowOff>
    </xdr:from>
    <xdr:ext cx="5667373" cy="1047750"/>
    <xdr:grpSp>
      <xdr:nvGrpSpPr>
        <xdr:cNvPr id="3" name="Group 2">
          <a:extLst>
            <a:ext uri="{FF2B5EF4-FFF2-40B4-BE49-F238E27FC236}"/>
          </a:extLst>
        </xdr:cNvPr>
        <xdr:cNvGrpSpPr/>
      </xdr:nvGrpSpPr>
      <xdr:grpSpPr>
        <a:xfrm>
          <a:off x="1821180" y="0"/>
          <a:ext cx="5667373" cy="1047750"/>
          <a:chOff x="6610351" y="1973193"/>
          <a:chExt cx="6278321" cy="862062"/>
        </a:xfrm>
      </xdr:grpSpPr>
      <xdr:sp macro="" textlink="">
        <xdr:nvSpPr>
          <xdr:cNvPr id="6" name="TextBox 5">
            <a:extLst>
              <a:ext uri="{FF2B5EF4-FFF2-40B4-BE49-F238E27FC236}"/>
            </a:extLst>
          </xdr:cNvPr>
          <xdr:cNvSpPr txBox="1"/>
        </xdr:nvSpPr>
        <xdr:spPr>
          <a:xfrm>
            <a:off x="6610351" y="1973364"/>
            <a:ext cx="2519268" cy="8618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PHÒNG TỔNG HỢP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</a:t>
            </a:r>
            <a:endParaRPr lang="en-US" sz="1200">
              <a:effectLst/>
            </a:endParaRPr>
          </a:p>
          <a:p>
            <a:pPr lvl="0" algn="ctr">
              <a:spcBef>
                <a:spcPts val="600"/>
              </a:spcBef>
            </a:pPr>
            <a:r>
              <a:rPr lang="en-US" sz="120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Số:         /TTr-TH</a:t>
            </a:r>
          </a:p>
        </xdr:txBody>
      </xdr:sp>
      <xdr:sp macro="" textlink="">
        <xdr:nvSpPr>
          <xdr:cNvPr id="7" name="TextBox 6">
            <a:extLst>
              <a:ext uri="{FF2B5EF4-FFF2-40B4-BE49-F238E27FC236}"/>
            </a:extLst>
          </xdr:cNvPr>
          <xdr:cNvSpPr txBox="1"/>
        </xdr:nvSpPr>
        <xdr:spPr>
          <a:xfrm>
            <a:off x="8996826" y="1973193"/>
            <a:ext cx="3891846" cy="5669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2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HÒA XÃ HỘI CHỦ NGHĨA VIỆT NAM</a:t>
            </a:r>
            <a:endParaRPr lang="en-US" sz="12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- Tự do - Hạnh phúc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400">
              <a:effectLst/>
            </a:endParaRPr>
          </a:p>
          <a:p>
            <a:pPr lvl="0" algn="ctr"/>
            <a:endParaRPr lang="en-US" sz="1300" b="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571500</xdr:colOff>
      <xdr:row>0</xdr:row>
      <xdr:rowOff>0</xdr:rowOff>
    </xdr:from>
    <xdr:ext cx="5581650" cy="1057275"/>
    <xdr:grpSp>
      <xdr:nvGrpSpPr>
        <xdr:cNvPr id="2" name="Group 1">
          <a:extLst>
            <a:ext uri="{FF2B5EF4-FFF2-40B4-BE49-F238E27FC236}"/>
          </a:extLst>
        </xdr:cNvPr>
        <xdr:cNvGrpSpPr/>
      </xdr:nvGrpSpPr>
      <xdr:grpSpPr>
        <a:xfrm>
          <a:off x="2110740" y="0"/>
          <a:ext cx="5581650" cy="1057275"/>
          <a:chOff x="6610351" y="1973193"/>
          <a:chExt cx="6183355" cy="869899"/>
        </a:xfrm>
      </xdr:grpSpPr>
      <xdr:sp macro="" textlink="">
        <xdr:nvSpPr>
          <xdr:cNvPr id="3" name="TextBox 2">
            <a:extLst>
              <a:ext uri="{FF2B5EF4-FFF2-40B4-BE49-F238E27FC236}"/>
            </a:extLst>
          </xdr:cNvPr>
          <xdr:cNvSpPr txBox="1"/>
        </xdr:nvSpPr>
        <xdr:spPr>
          <a:xfrm>
            <a:off x="6610351" y="1981201"/>
            <a:ext cx="2519268" cy="8618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PHÒNG TỔNG HỢP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200">
              <a:effectLst/>
            </a:endParaRPr>
          </a:p>
        </xdr:txBody>
      </xdr:sp>
      <xdr:sp macro="" textlink="">
        <xdr:nvSpPr>
          <xdr:cNvPr id="4" name="TextBox 3">
            <a:extLst>
              <a:ext uri="{FF2B5EF4-FFF2-40B4-BE49-F238E27FC236}"/>
            </a:extLst>
          </xdr:cNvPr>
          <xdr:cNvSpPr txBox="1"/>
        </xdr:nvSpPr>
        <xdr:spPr>
          <a:xfrm>
            <a:off x="8901859" y="1973193"/>
            <a:ext cx="3891847" cy="5669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2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HÒA XÃ HỘI CHỦ NGHĨA VIỆT NAM</a:t>
            </a:r>
            <a:endParaRPr lang="en-US" sz="12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- Tự do - Hạnh phúc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400">
              <a:effectLst/>
            </a:endParaRPr>
          </a:p>
          <a:p>
            <a:pPr lvl="0" algn="ctr"/>
            <a:endParaRPr lang="en-US" sz="1300" b="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571500</xdr:colOff>
      <xdr:row>0</xdr:row>
      <xdr:rowOff>0</xdr:rowOff>
    </xdr:from>
    <xdr:ext cx="5581650" cy="1057275"/>
    <xdr:grpSp>
      <xdr:nvGrpSpPr>
        <xdr:cNvPr id="2" name="Group 1">
          <a:extLst>
            <a:ext uri="{FF2B5EF4-FFF2-40B4-BE49-F238E27FC236}"/>
          </a:extLst>
        </xdr:cNvPr>
        <xdr:cNvGrpSpPr/>
      </xdr:nvGrpSpPr>
      <xdr:grpSpPr>
        <a:xfrm>
          <a:off x="2110740" y="0"/>
          <a:ext cx="5581650" cy="1057275"/>
          <a:chOff x="6610351" y="1973193"/>
          <a:chExt cx="6183355" cy="869899"/>
        </a:xfrm>
      </xdr:grpSpPr>
      <xdr:sp macro="" textlink="">
        <xdr:nvSpPr>
          <xdr:cNvPr id="3" name="TextBox 2">
            <a:extLst>
              <a:ext uri="{FF2B5EF4-FFF2-40B4-BE49-F238E27FC236}"/>
            </a:extLst>
          </xdr:cNvPr>
          <xdr:cNvSpPr txBox="1"/>
        </xdr:nvSpPr>
        <xdr:spPr>
          <a:xfrm>
            <a:off x="6610351" y="1981201"/>
            <a:ext cx="2519268" cy="8618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PHÒNG TỔNG HỢP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200">
              <a:effectLst/>
            </a:endParaRPr>
          </a:p>
        </xdr:txBody>
      </xdr:sp>
      <xdr:sp macro="" textlink="">
        <xdr:nvSpPr>
          <xdr:cNvPr id="4" name="TextBox 3">
            <a:extLst>
              <a:ext uri="{FF2B5EF4-FFF2-40B4-BE49-F238E27FC236}"/>
            </a:extLst>
          </xdr:cNvPr>
          <xdr:cNvSpPr txBox="1"/>
        </xdr:nvSpPr>
        <xdr:spPr>
          <a:xfrm>
            <a:off x="8901859" y="1973193"/>
            <a:ext cx="3891847" cy="5669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2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HÒA XÃ HỘI CHỦ NGHĨA VIỆT NAM</a:t>
            </a:r>
            <a:endParaRPr lang="en-US" sz="12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- Tự do - Hạnh phúc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400">
              <a:effectLst/>
            </a:endParaRPr>
          </a:p>
          <a:p>
            <a:pPr lvl="0" algn="ctr"/>
            <a:endParaRPr lang="en-US" sz="1300" b="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411480</xdr:colOff>
      <xdr:row>0</xdr:row>
      <xdr:rowOff>0</xdr:rowOff>
    </xdr:from>
    <xdr:ext cx="6477000" cy="1047750"/>
    <xdr:grpSp>
      <xdr:nvGrpSpPr>
        <xdr:cNvPr id="2" name="Group 1">
          <a:extLst>
            <a:ext uri="{FF2B5EF4-FFF2-40B4-BE49-F238E27FC236}"/>
          </a:extLst>
        </xdr:cNvPr>
        <xdr:cNvGrpSpPr/>
      </xdr:nvGrpSpPr>
      <xdr:grpSpPr>
        <a:xfrm>
          <a:off x="1630680" y="0"/>
          <a:ext cx="6477000" cy="1047750"/>
          <a:chOff x="6610351" y="1973193"/>
          <a:chExt cx="6278321" cy="862062"/>
        </a:xfrm>
      </xdr:grpSpPr>
      <xdr:sp macro="" textlink="">
        <xdr:nvSpPr>
          <xdr:cNvPr id="3" name="TextBox 2">
            <a:extLst>
              <a:ext uri="{FF2B5EF4-FFF2-40B4-BE49-F238E27FC236}"/>
            </a:extLst>
          </xdr:cNvPr>
          <xdr:cNvSpPr txBox="1"/>
        </xdr:nvSpPr>
        <xdr:spPr>
          <a:xfrm>
            <a:off x="6610351" y="1973364"/>
            <a:ext cx="3182424" cy="8618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CÔNG</a:t>
            </a:r>
            <a:r>
              <a:rPr lang="en-US" sz="1300" b="0" baseline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TY TNHH MỘT THÀNH VIÊN </a:t>
            </a:r>
          </a:p>
          <a:p>
            <a:pPr lvl="0" algn="ctr"/>
            <a:r>
              <a:rPr lang="en-US" sz="1300" b="0" baseline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ĐỒNG NAI</a:t>
            </a:r>
            <a:endParaRPr lang="en-US" sz="1300" b="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</a:t>
            </a:r>
            <a:endParaRPr lang="en-US" sz="1200">
              <a:effectLst/>
            </a:endParaRPr>
          </a:p>
          <a:p>
            <a:pPr lvl="0" algn="ctr">
              <a:spcBef>
                <a:spcPts val="600"/>
              </a:spcBef>
            </a:pPr>
            <a:r>
              <a:rPr lang="en-US" sz="120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Số:         /TTr-TH</a:t>
            </a:r>
          </a:p>
        </xdr:txBody>
      </xdr:sp>
      <xdr:sp macro="" textlink="">
        <xdr:nvSpPr>
          <xdr:cNvPr id="4" name="TextBox 3">
            <a:extLst>
              <a:ext uri="{FF2B5EF4-FFF2-40B4-BE49-F238E27FC236}"/>
            </a:extLst>
          </xdr:cNvPr>
          <xdr:cNvSpPr txBox="1"/>
        </xdr:nvSpPr>
        <xdr:spPr>
          <a:xfrm>
            <a:off x="9343267" y="1973193"/>
            <a:ext cx="3545405" cy="5669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lvl="0" algn="ctr"/>
            <a:r>
              <a:rPr lang="en-US" sz="12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HÒA XÃ HỘI CHỦ NGHĨA VIỆT NAM</a:t>
            </a:r>
            <a:endParaRPr lang="en-US" sz="12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lvl="0" algn="ctr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- Tự do - Hạnh phúc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</a:t>
            </a:r>
            <a:endParaRPr lang="en-US" sz="1400">
              <a:effectLst/>
            </a:endParaRPr>
          </a:p>
          <a:p>
            <a:pPr lvl="0" algn="ctr"/>
            <a:endParaRPr lang="en-US" sz="1300" b="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676275</xdr:colOff>
      <xdr:row>31</xdr:row>
      <xdr:rowOff>95250</xdr:rowOff>
    </xdr:from>
    <xdr:ext cx="6629400" cy="1162050"/>
    <xdr:sp macro="" textlink="">
      <xdr:nvSpPr>
        <xdr:cNvPr id="2" name="Text Box 2">
          <a:extLst>
            <a:ext uri="{FF2B5EF4-FFF2-40B4-BE49-F238E27FC236}"/>
          </a:extLst>
        </xdr:cNvPr>
        <xdr:cNvSpPr txBox="1">
          <a:spLocks noChangeArrowheads="1"/>
        </xdr:cNvSpPr>
      </xdr:nvSpPr>
      <xdr:spPr bwMode="auto">
        <a:xfrm>
          <a:off x="0" y="7700010"/>
          <a:ext cx="66294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lvl="0" algn="ctr">
            <a:lnSpc>
              <a:spcPts val="1400"/>
            </a:lnSpc>
            <a:spcAft>
              <a:spcPts val="0"/>
            </a:spcAft>
          </a:pPr>
          <a:r>
            <a:rPr lang="en-US" sz="1300" b="1">
              <a:effectLst/>
              <a:latin typeface="Times New Roman"/>
              <a:ea typeface="Times New Roman"/>
              <a:cs typeface="Times New Roman"/>
            </a:rPr>
            <a:t>Đề xuất của Phòng Tổng Hợp khi không bố trí được phương tiện</a:t>
          </a:r>
          <a:endParaRPr lang="vi-VN" sz="1200">
            <a:effectLst/>
            <a:latin typeface="VNtimes new roman"/>
            <a:ea typeface="Times New Roman"/>
            <a:cs typeface="Times New Roman"/>
          </a:endParaRPr>
        </a:p>
        <a:p>
          <a:pPr lvl="0" algn="ctr">
            <a:lnSpc>
              <a:spcPts val="1400"/>
            </a:lnSpc>
            <a:spcAft>
              <a:spcPts val="0"/>
            </a:spcAft>
            <a:tabLst>
              <a:tab pos="1066800" algn="ctr"/>
              <a:tab pos="4648200" algn="ctr"/>
            </a:tabLst>
          </a:pPr>
          <a:r>
            <a:rPr lang="en-US" sz="1300" b="1">
              <a:effectLst/>
              <a:latin typeface="Times New Roman"/>
              <a:ea typeface="Times New Roman"/>
              <a:cs typeface="Times New Roman"/>
            </a:rPr>
            <a:t>(do các phương tiện đã được bố trí cho công tác khác):</a:t>
          </a:r>
        </a:p>
        <a:p>
          <a:pPr lvl="0" algn="ctr">
            <a:lnSpc>
              <a:spcPts val="1400"/>
            </a:lnSpc>
            <a:spcAft>
              <a:spcPts val="0"/>
            </a:spcAft>
            <a:tabLst>
              <a:tab pos="1066800" algn="ctr"/>
              <a:tab pos="4648200" algn="ctr"/>
            </a:tabLst>
          </a:pPr>
          <a:endParaRPr lang="vi-VN" sz="1300" b="1">
            <a:effectLst/>
            <a:latin typeface="Times New Roman"/>
            <a:ea typeface="Times New Roman"/>
            <a:cs typeface="Times New Roman"/>
          </a:endParaRPr>
        </a:p>
        <a:p>
          <a:pPr lvl="0" algn="ctr">
            <a:lnSpc>
              <a:spcPts val="1400"/>
            </a:lnSpc>
            <a:spcAft>
              <a:spcPts val="0"/>
            </a:spcAft>
          </a:pPr>
          <a:r>
            <a:rPr lang="en-US" sz="1300">
              <a:effectLst/>
              <a:latin typeface="Times New Roman"/>
              <a:ea typeface="Times New Roman"/>
              <a:cs typeface="Times New Roman"/>
            </a:rPr>
            <a:t>……………………………………………………………………………………………</a:t>
          </a:r>
        </a:p>
        <a:p>
          <a:pPr lvl="0" algn="ctr">
            <a:lnSpc>
              <a:spcPct val="200000"/>
            </a:lnSpc>
            <a:spcBef>
              <a:spcPts val="600"/>
            </a:spcBef>
            <a:spcAft>
              <a:spcPts val="0"/>
            </a:spcAft>
          </a:pPr>
          <a:r>
            <a:rPr lang="en-US" sz="1200">
              <a:effectLst/>
              <a:latin typeface="VNtimes new roman"/>
              <a:ea typeface="Times New Roman"/>
              <a:cs typeface="Times New Roman"/>
            </a:rPr>
            <a:t>...........</a:t>
          </a:r>
          <a:r>
            <a:rPr lang="vi-VN" sz="1200">
              <a:effectLst/>
              <a:latin typeface="VNtimes new roman"/>
              <a:ea typeface="Times New Roman"/>
              <a:cs typeface="Times New Roman"/>
            </a:rPr>
            <a:t>……………………………………………………………………………………………</a:t>
          </a:r>
        </a:p>
        <a:p>
          <a:pPr lvl="0" algn="ctr">
            <a:lnSpc>
              <a:spcPts val="1400"/>
            </a:lnSpc>
            <a:spcAft>
              <a:spcPts val="0"/>
            </a:spcAft>
          </a:pPr>
          <a:endParaRPr lang="vi-VN" sz="1200">
            <a:effectLst/>
            <a:latin typeface="VNtimes new roman"/>
            <a:ea typeface="Times New Roman"/>
            <a:cs typeface="Times New Roman"/>
          </a:endParaRPr>
        </a:p>
      </xdr:txBody>
    </xdr:sp>
    <xdr:clientData fLocksWithSheet="0"/>
  </xdr:oneCellAnchor>
  <xdr:oneCellAnchor>
    <xdr:from>
      <xdr:col>1</xdr:col>
      <xdr:colOff>2409825</xdr:colOff>
      <xdr:row>7</xdr:row>
      <xdr:rowOff>66675</xdr:rowOff>
    </xdr:from>
    <xdr:ext cx="1485900" cy="0"/>
    <xdr:cxnSp macro="">
      <xdr:nvCxnSpPr>
        <xdr:cNvPr id="3" name="Straight Connector 2">
          <a:extLst>
            <a:ext uri="{FF2B5EF4-FFF2-40B4-BE49-F238E27FC236}"/>
          </a:extLst>
        </xdr:cNvPr>
        <xdr:cNvCxnSpPr/>
      </xdr:nvCxnSpPr>
      <xdr:spPr>
        <a:xfrm>
          <a:off x="2409825" y="1552575"/>
          <a:ext cx="1485900" cy="0"/>
        </a:xfrm>
        <a:prstGeom prst="line">
          <a:avLst/>
        </a:prstGeom>
        <a:ln w="9525" cap="flat" cmpd="sng" algn="ctr">
          <a:solidFill>
            <a:sysClr val="windowText" lastClr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1</xdr:col>
      <xdr:colOff>161925</xdr:colOff>
      <xdr:row>0</xdr:row>
      <xdr:rowOff>9525</xdr:rowOff>
    </xdr:from>
    <xdr:ext cx="5888355" cy="923925"/>
    <xdr:grpSp>
      <xdr:nvGrpSpPr>
        <xdr:cNvPr id="4" name="Group 3">
          <a:extLst>
            <a:ext uri="{FF2B5EF4-FFF2-40B4-BE49-F238E27FC236}"/>
          </a:extLst>
        </xdr:cNvPr>
        <xdr:cNvGrpSpPr/>
      </xdr:nvGrpSpPr>
      <xdr:grpSpPr>
        <a:xfrm>
          <a:off x="161925" y="9525"/>
          <a:ext cx="5888355" cy="923925"/>
          <a:chOff x="857770" y="200421"/>
          <a:chExt cx="3283704" cy="923610"/>
        </a:xfrm>
      </xdr:grpSpPr>
      <xdr:sp macro="" textlink="">
        <xdr:nvSpPr>
          <xdr:cNvPr id="5" name="TextBox 4">
            <a:extLst>
              <a:ext uri="{FF2B5EF4-FFF2-40B4-BE49-F238E27FC236}"/>
            </a:extLst>
          </xdr:cNvPr>
          <xdr:cNvSpPr txBox="1">
            <a:spLocks noChangeAspect="1"/>
          </xdr:cNvSpPr>
        </xdr:nvSpPr>
        <xdr:spPr>
          <a:xfrm>
            <a:off x="2029535" y="206391"/>
            <a:ext cx="2111939" cy="8500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numCol="1" rtlCol="0" anchor="t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HOÀ XÃ HỘI CHỦ NGHĨA VIỆT NAM</a:t>
            </a:r>
            <a:endParaRPr lang="en-US" sz="1300" b="1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– Tự do – Hạnh phúc</a:t>
            </a:r>
            <a:endParaRPr lang="en-US" sz="1300" b="1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_______________________________________</a:t>
            </a:r>
            <a:endParaRPr lang="en-US" sz="13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Xuân Lộc, ngày 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    </a:t>
            </a: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tháng 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    </a:t>
            </a:r>
            <a:r>
              <a:rPr lang="vi-VN" sz="130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</a:t>
            </a: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năm 201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8</a:t>
            </a:r>
            <a:endParaRPr lang="vi-VN" sz="13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/>
            </a:extLst>
          </xdr:cNvPr>
          <xdr:cNvSpPr txBox="1"/>
        </xdr:nvSpPr>
        <xdr:spPr>
          <a:xfrm>
            <a:off x="857770" y="200421"/>
            <a:ext cx="1115403" cy="923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lvl="0" algn="ctr" eaLnBrk="1" fontAlgn="auto" latinLnBrk="0" hangingPunct="1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lvl="0" algn="ctr" eaLnBrk="1" fontAlgn="auto" latinLnBrk="0" hangingPunct="1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PHÒNG</a:t>
            </a:r>
            <a:r>
              <a:rPr lang="en-US" sz="1300" b="1" baseline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TỔNG HỢP</a:t>
            </a:r>
            <a:endParaRPr lang="en-US" sz="1300" b="1">
              <a:effectLst/>
              <a:latin typeface="Times New Roman" pitchFamily="18" charset="0"/>
              <a:cs typeface="Times New Roman" pitchFamily="18" charset="0"/>
            </a:endParaRPr>
          </a:p>
          <a:p>
            <a:pPr lvl="0" algn="ctr" eaLnBrk="1" fontAlgn="auto" latinLnBrk="0" hangingPunct="1"/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</a:t>
            </a:r>
            <a:endParaRPr lang="en-US" sz="1300">
              <a:effectLst/>
              <a:latin typeface="Times New Roman" pitchFamily="18" charset="0"/>
              <a:cs typeface="Times New Roman" pitchFamily="18" charset="0"/>
            </a:endParaRPr>
          </a:p>
          <a:p>
            <a:endParaRPr lang="en-US" sz="1300">
              <a:latin typeface="Times New Roman" pitchFamily="18" charset="0"/>
              <a:cs typeface="Times New Roman" pitchFamily="18" charset="0"/>
            </a:endParaRPr>
          </a:p>
        </xdr:txBody>
      </xdr:sp>
    </xdr:grpSp>
    <xdr:clientData fLocksWithSheet="0"/>
  </xdr:oneCellAnchor>
  <xdr:oneCellAnchor>
    <xdr:from>
      <xdr:col>0</xdr:col>
      <xdr:colOff>0</xdr:colOff>
      <xdr:row>27</xdr:row>
      <xdr:rowOff>19050</xdr:rowOff>
    </xdr:from>
    <xdr:ext cx="1924050" cy="657225"/>
    <xdr:sp macro="" textlink="">
      <xdr:nvSpPr>
        <xdr:cNvPr id="7" name="Object 1" hidden="1">
          <a:extLst/>
        </xdr:cNvPr>
        <xdr:cNvSpPr/>
      </xdr:nvSpPr>
      <xdr:spPr>
        <a:xfrm>
          <a:off x="0" y="6800850"/>
          <a:ext cx="1924050" cy="657225"/>
        </a:xfrm>
        <a:prstGeom prst="rect">
          <a:avLst/>
        </a:prstGeom>
      </xdr:spPr>
    </xdr:sp>
    <xdr:clientData fLocksWithSheet="0"/>
  </xdr:oneCellAnchor>
  <xdr:twoCellAnchor>
    <xdr:from>
      <xdr:col>1</xdr:col>
      <xdr:colOff>152401</xdr:colOff>
      <xdr:row>19</xdr:row>
      <xdr:rowOff>28573</xdr:rowOff>
    </xdr:from>
    <xdr:to>
      <xdr:col>2</xdr:col>
      <xdr:colOff>38101</xdr:colOff>
      <xdr:row>27</xdr:row>
      <xdr:rowOff>107826</xdr:rowOff>
    </xdr:to>
    <xdr:grpSp>
      <xdr:nvGrpSpPr>
        <xdr:cNvPr id="8" name="Group 7"/>
        <xdr:cNvGrpSpPr/>
      </xdr:nvGrpSpPr>
      <xdr:grpSpPr>
        <a:xfrm>
          <a:off x="152401" y="5164453"/>
          <a:ext cx="5943600" cy="1725173"/>
          <a:chOff x="533401" y="5233033"/>
          <a:chExt cx="5943600" cy="1725173"/>
        </a:xfrm>
      </xdr:grpSpPr>
      <xdr:grpSp>
        <xdr:nvGrpSpPr>
          <xdr:cNvPr id="9" name="Group 8"/>
          <xdr:cNvGrpSpPr/>
        </xdr:nvGrpSpPr>
        <xdr:grpSpPr>
          <a:xfrm>
            <a:off x="533401" y="5233033"/>
            <a:ext cx="5943600" cy="1720214"/>
            <a:chOff x="533609" y="5040406"/>
            <a:chExt cx="5950115" cy="1945012"/>
          </a:xfrm>
        </xdr:grpSpPr>
        <xdr:sp macro="" textlink="">
          <xdr:nvSpPr>
            <xdr:cNvPr id="11" name="TextBox 10">
              <a:extLst>
                <a:ext uri="{FF2B5EF4-FFF2-40B4-BE49-F238E27FC236}"/>
              </a:extLst>
            </xdr:cNvPr>
            <xdr:cNvSpPr txBox="1"/>
          </xdr:nvSpPr>
          <xdr:spPr>
            <a:xfrm>
              <a:off x="678548" y="5044888"/>
              <a:ext cx="2265621" cy="70416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 algn="ctr" eaLnBrk="1" fontAlgn="auto" latinLnBrk="0" hangingPunct="1"/>
              <a:r>
                <a:rPr lang="en-US" sz="1400" b="1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KT. GIÁM ĐỐC</a:t>
              </a:r>
            </a:p>
            <a:p>
              <a:pPr lvl="0" algn="ctr" eaLnBrk="1" fontAlgn="auto" latinLnBrk="0" hangingPunct="1"/>
              <a:r>
                <a:rPr lang="en-US" sz="1400" b="1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PHÓ</a:t>
              </a:r>
              <a:r>
                <a:rPr lang="en-US" sz="1400" b="1" baseline="0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 GIÁM ĐỐC</a:t>
              </a:r>
              <a:endParaRPr lang="en-US" sz="1400" b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  <xdr:sp macro="" textlink="$F$20">
          <xdr:nvSpPr>
            <xdr:cNvPr id="12" name="TextBox 11">
              <a:extLst>
                <a:ext uri="{FF2B5EF4-FFF2-40B4-BE49-F238E27FC236}"/>
              </a:extLst>
            </xdr:cNvPr>
            <xdr:cNvSpPr txBox="1"/>
          </xdr:nvSpPr>
          <xdr:spPr>
            <a:xfrm>
              <a:off x="3333750" y="5040406"/>
              <a:ext cx="3149974" cy="3653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 algn="ctr" eaLnBrk="1" fontAlgn="auto" latinLnBrk="0" hangingPunct="1"/>
              <a:fld id="{86845420-525C-48DA-AC87-CD5C44024ED3}" type="TxLink">
                <a:rPr lang="en-US" sz="1400" b="1">
                  <a:effectLst/>
                  <a:latin typeface="Times New Roman" pitchFamily="18" charset="0"/>
                  <a:cs typeface="Times New Roman" pitchFamily="18" charset="0"/>
                </a:rPr>
                <a:pPr lvl="0" algn="ctr" eaLnBrk="1" fontAlgn="auto" latinLnBrk="0" hangingPunct="1"/>
                <a:t>PHÒNG TỔNG HỢP</a:t>
              </a:fld>
              <a:endParaRPr lang="en-US" sz="1400" b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  <xdr:sp macro="" textlink="$E$27">
          <xdr:nvSpPr>
            <xdr:cNvPr id="13" name="TextBox 12">
              <a:extLst>
                <a:ext uri="{FF2B5EF4-FFF2-40B4-BE49-F238E27FC236}"/>
              </a:extLst>
            </xdr:cNvPr>
            <xdr:cNvSpPr txBox="1"/>
          </xdr:nvSpPr>
          <xdr:spPr>
            <a:xfrm>
              <a:off x="533609" y="6620105"/>
              <a:ext cx="2514601" cy="365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 algn="ctr" eaLnBrk="1" fontAlgn="auto" latinLnBrk="0" hangingPunct="1"/>
              <a:fld id="{75252A95-7826-41DE-9D5C-FDFB2517B125}" type="TxLink">
                <a:rPr lang="en-US" sz="1400" b="1">
                  <a:effectLst/>
                  <a:latin typeface="Times New Roman" pitchFamily="18" charset="0"/>
                  <a:cs typeface="Times New Roman" pitchFamily="18" charset="0"/>
                </a:rPr>
                <a:pPr lvl="0" algn="ctr" eaLnBrk="1" fontAlgn="auto" latinLnBrk="0" hangingPunct="1"/>
                <a:t>Phùng Tiến Nga</a:t>
              </a:fld>
              <a:endParaRPr lang="en-US" sz="1400" b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</xdr:grpSp>
      <xdr:sp macro="" textlink="$E$26">
        <xdr:nvSpPr>
          <xdr:cNvPr id="10" name="TextBox 9">
            <a:extLst>
              <a:ext uri="{FF2B5EF4-FFF2-40B4-BE49-F238E27FC236}"/>
            </a:extLst>
          </xdr:cNvPr>
          <xdr:cNvSpPr txBox="1"/>
        </xdr:nvSpPr>
        <xdr:spPr>
          <a:xfrm>
            <a:off x="3329940" y="6635115"/>
            <a:ext cx="3146525" cy="3230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lvl="0" algn="ctr" eaLnBrk="1" fontAlgn="auto" latinLnBrk="0" hangingPunct="1"/>
            <a:fld id="{BBF5CCAC-A7A1-498D-9E04-AE1C3D55D1AF}" type="TxLink">
              <a:rPr lang="en-US" sz="1400" b="1">
                <a:effectLst/>
                <a:latin typeface="Times New Roman" pitchFamily="18" charset="0"/>
                <a:cs typeface="Times New Roman" pitchFamily="18" charset="0"/>
              </a:rPr>
              <a:pPr lvl="0" algn="ctr" eaLnBrk="1" fontAlgn="auto" latinLnBrk="0" hangingPunct="1"/>
              <a:t>Lê Ngọc Thanh</a:t>
            </a:fld>
            <a:endParaRPr lang="en-US" sz="1400" b="1">
              <a:effectLst/>
              <a:latin typeface="Times New Roman" pitchFamily="18" charset="0"/>
              <a:cs typeface="Times New Roman" pitchFamily="18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32</xdr:row>
      <xdr:rowOff>95250</xdr:rowOff>
    </xdr:from>
    <xdr:ext cx="6004560" cy="1162050"/>
    <xdr:sp macro="" textlink="">
      <xdr:nvSpPr>
        <xdr:cNvPr id="2" name="Text Box 2">
          <a:extLst>
            <a:ext uri="{FF2B5EF4-FFF2-40B4-BE49-F238E27FC236}"/>
          </a:extLst>
        </xdr:cNvPr>
        <xdr:cNvSpPr txBox="1">
          <a:spLocks noChangeArrowheads="1"/>
        </xdr:cNvSpPr>
      </xdr:nvSpPr>
      <xdr:spPr bwMode="auto">
        <a:xfrm>
          <a:off x="0" y="7829550"/>
          <a:ext cx="600456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lvl="0" algn="ctr">
            <a:lnSpc>
              <a:spcPts val="1400"/>
            </a:lnSpc>
            <a:spcAft>
              <a:spcPts val="0"/>
            </a:spcAft>
          </a:pPr>
          <a:r>
            <a:rPr lang="en-US" sz="1300" b="1">
              <a:effectLst/>
              <a:latin typeface="Times New Roman"/>
              <a:ea typeface="Times New Roman"/>
              <a:cs typeface="Times New Roman"/>
            </a:rPr>
            <a:t>Đề xuất của Phòng Tổng Hợp khi không bố trí được phương tiện</a:t>
          </a:r>
          <a:endParaRPr lang="vi-VN" sz="1200">
            <a:effectLst/>
            <a:latin typeface="VNtimes new roman"/>
            <a:ea typeface="Times New Roman"/>
            <a:cs typeface="Times New Roman"/>
          </a:endParaRPr>
        </a:p>
        <a:p>
          <a:pPr lvl="0" algn="ctr">
            <a:lnSpc>
              <a:spcPts val="1400"/>
            </a:lnSpc>
            <a:spcAft>
              <a:spcPts val="0"/>
            </a:spcAft>
            <a:tabLst>
              <a:tab pos="1066800" algn="ctr"/>
              <a:tab pos="4648200" algn="ctr"/>
            </a:tabLst>
          </a:pPr>
          <a:r>
            <a:rPr lang="en-US" sz="1300" b="1">
              <a:effectLst/>
              <a:latin typeface="Times New Roman"/>
              <a:ea typeface="Times New Roman"/>
              <a:cs typeface="Times New Roman"/>
            </a:rPr>
            <a:t>(do các phương tiện đã được bố trí cho công tác khác):</a:t>
          </a:r>
        </a:p>
        <a:p>
          <a:pPr lvl="0" algn="ctr">
            <a:lnSpc>
              <a:spcPts val="1400"/>
            </a:lnSpc>
            <a:spcAft>
              <a:spcPts val="0"/>
            </a:spcAft>
            <a:tabLst>
              <a:tab pos="1066800" algn="ctr"/>
              <a:tab pos="4648200" algn="ctr"/>
            </a:tabLst>
          </a:pPr>
          <a:endParaRPr lang="vi-VN" sz="1300" b="1">
            <a:effectLst/>
            <a:latin typeface="Times New Roman"/>
            <a:ea typeface="Times New Roman"/>
            <a:cs typeface="Times New Roman"/>
          </a:endParaRPr>
        </a:p>
        <a:p>
          <a:pPr lvl="0" algn="ctr">
            <a:lnSpc>
              <a:spcPts val="1400"/>
            </a:lnSpc>
            <a:spcAft>
              <a:spcPts val="0"/>
            </a:spcAft>
          </a:pPr>
          <a:r>
            <a:rPr lang="en-US" sz="1300">
              <a:effectLst/>
              <a:latin typeface="Times New Roman"/>
              <a:ea typeface="Times New Roman"/>
              <a:cs typeface="Times New Roman"/>
            </a:rPr>
            <a:t>……………………………………………………………………………………………</a:t>
          </a:r>
        </a:p>
        <a:p>
          <a:pPr lvl="0" algn="ctr">
            <a:lnSpc>
              <a:spcPct val="200000"/>
            </a:lnSpc>
            <a:spcBef>
              <a:spcPts val="600"/>
            </a:spcBef>
            <a:spcAft>
              <a:spcPts val="0"/>
            </a:spcAft>
          </a:pPr>
          <a:r>
            <a:rPr lang="en-US" sz="1200">
              <a:effectLst/>
              <a:latin typeface="VNtimes new roman"/>
              <a:ea typeface="Times New Roman"/>
              <a:cs typeface="Times New Roman"/>
            </a:rPr>
            <a:t>...........</a:t>
          </a:r>
          <a:r>
            <a:rPr lang="vi-VN" sz="1200">
              <a:effectLst/>
              <a:latin typeface="VNtimes new roman"/>
              <a:ea typeface="Times New Roman"/>
              <a:cs typeface="Times New Roman"/>
            </a:rPr>
            <a:t>……………………………………………………………………………………………</a:t>
          </a:r>
        </a:p>
        <a:p>
          <a:pPr lvl="0" algn="ctr">
            <a:lnSpc>
              <a:spcPts val="1400"/>
            </a:lnSpc>
            <a:spcAft>
              <a:spcPts val="0"/>
            </a:spcAft>
          </a:pPr>
          <a:endParaRPr lang="vi-VN" sz="1200">
            <a:effectLst/>
            <a:latin typeface="VNtimes new roman"/>
            <a:ea typeface="Times New Roman"/>
            <a:cs typeface="Times New Roman"/>
          </a:endParaRPr>
        </a:p>
      </xdr:txBody>
    </xdr:sp>
    <xdr:clientData fLocksWithSheet="0"/>
  </xdr:oneCellAnchor>
  <xdr:oneCellAnchor>
    <xdr:from>
      <xdr:col>1</xdr:col>
      <xdr:colOff>2409825</xdr:colOff>
      <xdr:row>7</xdr:row>
      <xdr:rowOff>66675</xdr:rowOff>
    </xdr:from>
    <xdr:ext cx="1485900" cy="0"/>
    <xdr:cxnSp macro="">
      <xdr:nvCxnSpPr>
        <xdr:cNvPr id="3" name="Straight Connector 2">
          <a:extLst>
            <a:ext uri="{FF2B5EF4-FFF2-40B4-BE49-F238E27FC236}"/>
          </a:extLst>
        </xdr:cNvPr>
        <xdr:cNvCxnSpPr/>
      </xdr:nvCxnSpPr>
      <xdr:spPr>
        <a:xfrm>
          <a:off x="2409825" y="1552575"/>
          <a:ext cx="1485900" cy="0"/>
        </a:xfrm>
        <a:prstGeom prst="line">
          <a:avLst/>
        </a:prstGeom>
        <a:ln w="9525" cap="flat" cmpd="sng" algn="ctr">
          <a:solidFill>
            <a:sysClr val="windowText" lastClr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1</xdr:col>
      <xdr:colOff>161925</xdr:colOff>
      <xdr:row>0</xdr:row>
      <xdr:rowOff>9525</xdr:rowOff>
    </xdr:from>
    <xdr:ext cx="5888355" cy="923925"/>
    <xdr:grpSp>
      <xdr:nvGrpSpPr>
        <xdr:cNvPr id="4" name="Group 3">
          <a:extLst>
            <a:ext uri="{FF2B5EF4-FFF2-40B4-BE49-F238E27FC236}"/>
          </a:extLst>
        </xdr:cNvPr>
        <xdr:cNvGrpSpPr/>
      </xdr:nvGrpSpPr>
      <xdr:grpSpPr>
        <a:xfrm>
          <a:off x="161925" y="9525"/>
          <a:ext cx="5888355" cy="923925"/>
          <a:chOff x="857770" y="200421"/>
          <a:chExt cx="3283704" cy="923610"/>
        </a:xfrm>
      </xdr:grpSpPr>
      <xdr:sp macro="" textlink="">
        <xdr:nvSpPr>
          <xdr:cNvPr id="5" name="TextBox 4">
            <a:extLst>
              <a:ext uri="{FF2B5EF4-FFF2-40B4-BE49-F238E27FC236}"/>
            </a:extLst>
          </xdr:cNvPr>
          <xdr:cNvSpPr txBox="1">
            <a:spLocks noChangeAspect="1"/>
          </xdr:cNvSpPr>
        </xdr:nvSpPr>
        <xdr:spPr>
          <a:xfrm>
            <a:off x="2029535" y="206391"/>
            <a:ext cx="2111939" cy="8500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numCol="1" rtlCol="0" anchor="t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CỘNG HOÀ XÃ HỘI CHỦ NGHĨA VIỆT NAM</a:t>
            </a:r>
            <a:endParaRPr lang="en-US" sz="1300" b="1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Độc lập – Tự do – Hạnh phúc</a:t>
            </a:r>
            <a:endParaRPr lang="en-US" sz="1300" b="1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_______________________________________</a:t>
            </a:r>
            <a:endParaRPr lang="en-US" sz="13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Xuân Lộc, ngày 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    </a:t>
            </a: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tháng 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    </a:t>
            </a:r>
            <a:r>
              <a:rPr lang="vi-VN" sz="130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</a:t>
            </a:r>
            <a:r>
              <a:rPr lang="vi-VN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năm 201</a:t>
            </a:r>
            <a:r>
              <a:rPr lang="en-US" sz="1300" i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9</a:t>
            </a:r>
            <a:endParaRPr lang="vi-VN" sz="1300">
              <a:solidFill>
                <a:schemeClr val="dk1"/>
              </a:solidFill>
              <a:effectLst/>
              <a:latin typeface="Times New Roman" pitchFamily="18" charset="0"/>
              <a:ea typeface="+mn-ea"/>
              <a:cs typeface="Times New Roman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/>
            </a:extLst>
          </xdr:cNvPr>
          <xdr:cNvSpPr txBox="1"/>
        </xdr:nvSpPr>
        <xdr:spPr>
          <a:xfrm>
            <a:off x="857770" y="200421"/>
            <a:ext cx="1115403" cy="923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lvl="0" algn="ctr" eaLnBrk="1" fontAlgn="auto" latinLnBrk="0" hangingPunct="1"/>
            <a:r>
              <a:rPr lang="en-US" sz="1300" b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ĐIỆN LỰC XUÂN LỘC</a:t>
            </a:r>
          </a:p>
          <a:p>
            <a:pPr lvl="0" algn="ctr" eaLnBrk="1" fontAlgn="auto" latinLnBrk="0" hangingPunct="1"/>
            <a:r>
              <a:rPr lang="en-US" sz="1300" b="1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PHÒNG</a:t>
            </a:r>
            <a:r>
              <a:rPr lang="en-US" sz="1300" b="1" baseline="0">
                <a:solidFill>
                  <a:schemeClr val="dk1"/>
                </a:solidFill>
                <a:effectLst/>
                <a:latin typeface="Times New Roman" pitchFamily="18" charset="0"/>
                <a:ea typeface="+mn-ea"/>
                <a:cs typeface="Times New Roman" pitchFamily="18" charset="0"/>
              </a:rPr>
              <a:t> TỔNG HỢP</a:t>
            </a:r>
            <a:endParaRPr lang="en-US" sz="1300" b="1">
              <a:effectLst/>
              <a:latin typeface="Times New Roman" pitchFamily="18" charset="0"/>
              <a:cs typeface="Times New Roman" pitchFamily="18" charset="0"/>
            </a:endParaRPr>
          </a:p>
          <a:p>
            <a:pPr lvl="0" algn="ctr" eaLnBrk="1" fontAlgn="auto" latinLnBrk="0" hangingPunct="1"/>
            <a:r>
              <a:rPr lang="en-US" sz="1100" b="1" baseline="300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__________________________</a:t>
            </a:r>
            <a:endParaRPr lang="en-US" sz="1300">
              <a:effectLst/>
              <a:latin typeface="Times New Roman" pitchFamily="18" charset="0"/>
              <a:cs typeface="Times New Roman" pitchFamily="18" charset="0"/>
            </a:endParaRPr>
          </a:p>
          <a:p>
            <a:endParaRPr lang="en-US" sz="1300">
              <a:latin typeface="Times New Roman" pitchFamily="18" charset="0"/>
              <a:cs typeface="Times New Roman" pitchFamily="18" charset="0"/>
            </a:endParaRPr>
          </a:p>
        </xdr:txBody>
      </xdr:sp>
    </xdr:grpSp>
    <xdr:clientData fLocksWithSheet="0"/>
  </xdr:oneCellAnchor>
  <xdr:oneCellAnchor>
    <xdr:from>
      <xdr:col>0</xdr:col>
      <xdr:colOff>0</xdr:colOff>
      <xdr:row>28</xdr:row>
      <xdr:rowOff>19050</xdr:rowOff>
    </xdr:from>
    <xdr:ext cx="1924050" cy="657225"/>
    <xdr:sp macro="" textlink="">
      <xdr:nvSpPr>
        <xdr:cNvPr id="7" name="Object 1" hidden="1">
          <a:extLst/>
        </xdr:cNvPr>
        <xdr:cNvSpPr/>
      </xdr:nvSpPr>
      <xdr:spPr>
        <a:xfrm>
          <a:off x="0" y="6800850"/>
          <a:ext cx="1924050" cy="657225"/>
        </a:xfrm>
        <a:prstGeom prst="rect">
          <a:avLst/>
        </a:prstGeom>
      </xdr:spPr>
    </xdr:sp>
    <xdr:clientData fLocksWithSheet="0"/>
  </xdr:oneCellAnchor>
  <xdr:twoCellAnchor>
    <xdr:from>
      <xdr:col>1</xdr:col>
      <xdr:colOff>297181</xdr:colOff>
      <xdr:row>20</xdr:row>
      <xdr:rowOff>28567</xdr:rowOff>
    </xdr:from>
    <xdr:to>
      <xdr:col>2</xdr:col>
      <xdr:colOff>38101</xdr:colOff>
      <xdr:row>28</xdr:row>
      <xdr:rowOff>107826</xdr:rowOff>
    </xdr:to>
    <xdr:grpSp>
      <xdr:nvGrpSpPr>
        <xdr:cNvPr id="8" name="Group 7"/>
        <xdr:cNvGrpSpPr/>
      </xdr:nvGrpSpPr>
      <xdr:grpSpPr>
        <a:xfrm>
          <a:off x="297181" y="5293987"/>
          <a:ext cx="5798820" cy="1725179"/>
          <a:chOff x="678181" y="5233027"/>
          <a:chExt cx="5798820" cy="1725179"/>
        </a:xfrm>
      </xdr:grpSpPr>
      <xdr:grpSp>
        <xdr:nvGrpSpPr>
          <xdr:cNvPr id="9" name="Group 8"/>
          <xdr:cNvGrpSpPr/>
        </xdr:nvGrpSpPr>
        <xdr:grpSpPr>
          <a:xfrm>
            <a:off x="678181" y="5233027"/>
            <a:ext cx="5798820" cy="323090"/>
            <a:chOff x="678548" y="5040406"/>
            <a:chExt cx="5805176" cy="365312"/>
          </a:xfrm>
        </xdr:grpSpPr>
        <xdr:sp macro="" textlink="">
          <xdr:nvSpPr>
            <xdr:cNvPr id="11" name="TextBox 10">
              <a:extLst>
                <a:ext uri="{FF2B5EF4-FFF2-40B4-BE49-F238E27FC236}"/>
              </a:extLst>
            </xdr:cNvPr>
            <xdr:cNvSpPr txBox="1"/>
          </xdr:nvSpPr>
          <xdr:spPr>
            <a:xfrm>
              <a:off x="678548" y="5044888"/>
              <a:ext cx="2265621" cy="342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 algn="ctr" eaLnBrk="1" fontAlgn="auto" latinLnBrk="0" hangingPunct="1"/>
              <a:r>
                <a:rPr lang="en-US" sz="1400" b="1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GIÁM ĐỐC</a:t>
              </a:r>
            </a:p>
            <a:p>
              <a:pPr lvl="0" algn="ctr" eaLnBrk="1" fontAlgn="auto" latinLnBrk="0" hangingPunct="1"/>
              <a:r>
                <a:rPr lang="en-US" sz="1400" b="1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PHÓ</a:t>
              </a:r>
              <a:r>
                <a:rPr lang="en-US" sz="1400" b="1" baseline="0">
                  <a:solidFill>
                    <a:schemeClr val="dk1"/>
                  </a:solidFill>
                  <a:effectLst/>
                  <a:latin typeface="Times New Roman" pitchFamily="18" charset="0"/>
                  <a:ea typeface="+mn-ea"/>
                  <a:cs typeface="Times New Roman" pitchFamily="18" charset="0"/>
                </a:rPr>
                <a:t> GIÁM ĐỐC</a:t>
              </a:r>
              <a:endParaRPr lang="en-US" sz="1400" b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  <xdr:sp macro="" textlink="$F$21">
          <xdr:nvSpPr>
            <xdr:cNvPr id="12" name="TextBox 11">
              <a:extLst>
                <a:ext uri="{FF2B5EF4-FFF2-40B4-BE49-F238E27FC236}"/>
              </a:extLst>
            </xdr:cNvPr>
            <xdr:cNvSpPr txBox="1"/>
          </xdr:nvSpPr>
          <xdr:spPr>
            <a:xfrm>
              <a:off x="3333750" y="5040406"/>
              <a:ext cx="3149974" cy="3653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 algn="ctr" eaLnBrk="1" fontAlgn="auto" latinLnBrk="0" hangingPunct="1"/>
              <a:fld id="{86845420-525C-48DA-AC87-CD5C44024ED3}" type="TxLink">
                <a:rPr lang="en-US" sz="1400" b="1">
                  <a:effectLst/>
                  <a:latin typeface="Times New Roman" pitchFamily="18" charset="0"/>
                  <a:cs typeface="Times New Roman" pitchFamily="18" charset="0"/>
                </a:rPr>
                <a:pPr lvl="0" algn="ctr" eaLnBrk="1" fontAlgn="auto" latinLnBrk="0" hangingPunct="1"/>
                <a:t>PHÒNG TỔNG HỢP</a:t>
              </a:fld>
              <a:endParaRPr lang="en-US" sz="1400" b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</xdr:grpSp>
      <xdr:sp macro="" textlink="$E$27">
        <xdr:nvSpPr>
          <xdr:cNvPr id="10" name="TextBox 9">
            <a:extLst>
              <a:ext uri="{FF2B5EF4-FFF2-40B4-BE49-F238E27FC236}"/>
            </a:extLst>
          </xdr:cNvPr>
          <xdr:cNvSpPr txBox="1"/>
        </xdr:nvSpPr>
        <xdr:spPr>
          <a:xfrm>
            <a:off x="3329940" y="6635115"/>
            <a:ext cx="3146525" cy="3230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lvl="0" algn="ctr" eaLnBrk="1" fontAlgn="auto" latinLnBrk="0" hangingPunct="1"/>
            <a:fld id="{BBF5CCAC-A7A1-498D-9E04-AE1C3D55D1AF}" type="TxLink">
              <a:rPr lang="en-US" sz="1400" b="1">
                <a:effectLst/>
                <a:latin typeface="Times New Roman" pitchFamily="18" charset="0"/>
                <a:cs typeface="Times New Roman" pitchFamily="18" charset="0"/>
              </a:rPr>
              <a:pPr lvl="0" algn="ctr" eaLnBrk="1" fontAlgn="auto" latinLnBrk="0" hangingPunct="1"/>
              <a:t>Lê Ngọc Thanh</a:t>
            </a:fld>
            <a:endParaRPr lang="en-US" sz="1400" b="1">
              <a:effectLst/>
              <a:latin typeface="Times New Roman" pitchFamily="18" charset="0"/>
              <a:cs typeface="Times New Roman" pitchFamily="18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UCSPC\AppData\Roaming\Microsoft\AddIns\Dois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vn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34" sqref="B34"/>
    </sheetView>
  </sheetViews>
  <sheetFormatPr defaultRowHeight="14.4"/>
  <cols>
    <col min="2" max="2" width="30.77734375" customWidth="1"/>
    <col min="3" max="3" width="18.21875" customWidth="1"/>
    <col min="4" max="4" width="13.21875" customWidth="1"/>
  </cols>
  <sheetData>
    <row r="1" spans="1:5">
      <c r="A1" s="78" t="s">
        <v>65</v>
      </c>
      <c r="B1" s="78" t="s">
        <v>117</v>
      </c>
      <c r="C1" s="78" t="s">
        <v>124</v>
      </c>
      <c r="D1" s="78" t="s">
        <v>118</v>
      </c>
      <c r="E1" s="78" t="s">
        <v>119</v>
      </c>
    </row>
    <row r="2" spans="1:5">
      <c r="A2" s="79">
        <f>COLUMN()</f>
        <v>1</v>
      </c>
      <c r="B2" s="79">
        <f>COLUMN()</f>
        <v>2</v>
      </c>
      <c r="C2" s="79">
        <f>COLUMN()</f>
        <v>3</v>
      </c>
      <c r="D2" s="79">
        <f>COLUMN()</f>
        <v>4</v>
      </c>
      <c r="E2" s="79"/>
    </row>
    <row r="3" spans="1:5" ht="17.399999999999999">
      <c r="A3" s="78"/>
      <c r="B3" s="78" t="s">
        <v>125</v>
      </c>
      <c r="C3" s="81" t="s">
        <v>120</v>
      </c>
      <c r="D3" s="80" t="s">
        <v>121</v>
      </c>
      <c r="E3" s="78"/>
    </row>
    <row r="4" spans="1:5" ht="17.399999999999999">
      <c r="A4" s="78"/>
      <c r="B4" s="78" t="s">
        <v>125</v>
      </c>
      <c r="C4" s="81" t="s">
        <v>120</v>
      </c>
      <c r="D4" s="80" t="s">
        <v>121</v>
      </c>
      <c r="E4" s="78"/>
    </row>
    <row r="5" spans="1:5">
      <c r="A5" s="78"/>
      <c r="B5" s="78" t="s">
        <v>126</v>
      </c>
      <c r="C5" s="78" t="s">
        <v>122</v>
      </c>
      <c r="D5" s="80" t="s">
        <v>123</v>
      </c>
      <c r="E5" s="78"/>
    </row>
    <row r="6" spans="1:5">
      <c r="A6" s="47"/>
      <c r="B6" t="s">
        <v>127</v>
      </c>
      <c r="C6" s="47" t="s">
        <v>62</v>
      </c>
    </row>
    <row r="7" spans="1:5">
      <c r="B7" s="78" t="s">
        <v>143</v>
      </c>
      <c r="C7" s="47" t="s">
        <v>144</v>
      </c>
      <c r="D7" s="77"/>
    </row>
    <row r="8" spans="1:5">
      <c r="A8" t="s">
        <v>10</v>
      </c>
      <c r="B8" t="s">
        <v>201</v>
      </c>
      <c r="C8" s="47" t="s">
        <v>62</v>
      </c>
      <c r="D8" s="161" t="s">
        <v>202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101"/>
  <sheetViews>
    <sheetView topLeftCell="B7" workbookViewId="0">
      <selection activeCell="D19" sqref="D19:H19"/>
    </sheetView>
  </sheetViews>
  <sheetFormatPr defaultColWidth="14.44140625" defaultRowHeight="15" customHeight="1"/>
  <cols>
    <col min="1" max="3" width="9.109375" customWidth="1"/>
    <col min="4" max="4" width="6" customWidth="1"/>
    <col min="5" max="5" width="30.33203125" customWidth="1"/>
    <col min="6" max="6" width="14.109375" customWidth="1"/>
    <col min="7" max="7" width="16.5546875" customWidth="1"/>
    <col min="8" max="8" width="15.6640625" customWidth="1"/>
    <col min="9" max="10" width="9.109375" customWidth="1"/>
    <col min="11" max="11" width="15.88671875" customWidth="1"/>
    <col min="12" max="12" width="13" customWidth="1"/>
  </cols>
  <sheetData>
    <row r="1" spans="1:12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</row>
    <row r="2" spans="1:12" ht="16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2"/>
      <c r="L2" s="2"/>
    </row>
    <row r="3" spans="1:12" ht="16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2"/>
      <c r="L3" s="2"/>
    </row>
    <row r="4" spans="1:12" ht="16.5" customHeight="1">
      <c r="A4" s="1"/>
      <c r="B4" s="1"/>
      <c r="C4" s="1"/>
      <c r="D4" s="1"/>
      <c r="E4" s="1"/>
      <c r="F4" s="1"/>
      <c r="G4" s="1"/>
      <c r="H4" s="3" t="str">
        <f>IF(L4&lt;&gt;0,"Xuân Lộc, ngày "&amp;TEXT(L4,"dd")&amp;" tháng "&amp;TEXT(L4,"MM")&amp;" năm "&amp;TEXT(L4,"yyyy"),"Xuân Lộc, ngày        tháng        năm 2019")</f>
        <v>Xuân Lộc, ngày        tháng        năm 2019</v>
      </c>
      <c r="I4" s="1"/>
      <c r="J4" s="1"/>
      <c r="K4" s="2"/>
      <c r="L4" s="4"/>
    </row>
    <row r="5" spans="1:12" ht="16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2"/>
      <c r="L5" s="2"/>
    </row>
    <row r="6" spans="1:12" ht="24" customHeight="1">
      <c r="A6" s="1"/>
      <c r="B6" s="1"/>
      <c r="C6" s="1"/>
      <c r="D6" s="145" t="s">
        <v>0</v>
      </c>
      <c r="E6" s="144"/>
      <c r="F6" s="144"/>
      <c r="G6" s="144"/>
      <c r="H6" s="144"/>
      <c r="I6" s="1"/>
      <c r="J6" s="1"/>
      <c r="K6" s="2"/>
      <c r="L6" s="2"/>
    </row>
    <row r="7" spans="1:12" ht="11.25" customHeight="1">
      <c r="A7" s="1"/>
      <c r="B7" s="1"/>
      <c r="C7" s="1"/>
      <c r="D7" s="146"/>
      <c r="E7" s="144"/>
      <c r="F7" s="144"/>
      <c r="G7" s="144"/>
      <c r="H7" s="144"/>
      <c r="I7" s="1"/>
      <c r="J7" s="1"/>
      <c r="K7" s="2"/>
      <c r="L7" s="2"/>
    </row>
    <row r="8" spans="1:12" ht="23.25" customHeight="1">
      <c r="A8" s="1"/>
      <c r="B8" s="1"/>
      <c r="C8" s="1"/>
      <c r="D8" s="146" t="s">
        <v>1</v>
      </c>
      <c r="E8" s="144"/>
      <c r="F8" s="144"/>
      <c r="G8" s="144"/>
      <c r="H8" s="144"/>
      <c r="I8" s="1"/>
      <c r="J8" s="1"/>
      <c r="K8" s="2" t="s">
        <v>2</v>
      </c>
      <c r="L8" s="2" t="s">
        <v>3</v>
      </c>
    </row>
    <row r="9" spans="1:12" ht="52.8" customHeight="1">
      <c r="A9" s="1"/>
      <c r="B9" s="1"/>
      <c r="C9" s="1"/>
      <c r="D9" s="140" t="str">
        <f>"             Từ ngày "&amp;TEXT(K9,"dd/MM/yyyy")&amp;" đến ngày "&amp;TEXT(L9,"dd/MM/yyyy")&amp;", xe ô tô "&amp;VLOOKUP("x",data!A:B,2,0)&amp;" trong quá trình công tác đã thực hiện đóng tiền dịch vụ sử dụng đường bộ theo quy định."</f>
        <v xml:space="preserve">             Từ ngày 01/04/2019 đến ngày 19/08/2019, xe ô tô Toyota - Inova biển số 60A-607.73 trong quá trình công tác đã thực hiện đóng tiền dịch vụ sử dụng đường bộ theo quy định.</v>
      </c>
      <c r="E9" s="141"/>
      <c r="F9" s="141"/>
      <c r="G9" s="141"/>
      <c r="H9" s="141"/>
      <c r="I9" s="1"/>
      <c r="J9" s="1"/>
      <c r="K9" s="5">
        <f>BangKe!J6</f>
        <v>43556</v>
      </c>
      <c r="L9" s="5">
        <f>BangKe!K6</f>
        <v>43696</v>
      </c>
    </row>
    <row r="10" spans="1:12" s="93" customFormat="1" ht="33.6" customHeight="1">
      <c r="A10" s="18"/>
      <c r="B10" s="18"/>
      <c r="C10" s="18"/>
      <c r="D10" s="152" t="s">
        <v>4</v>
      </c>
      <c r="E10" s="153"/>
      <c r="F10" s="153"/>
      <c r="G10" s="153"/>
      <c r="H10" s="153"/>
      <c r="I10" s="18"/>
      <c r="J10" s="18"/>
      <c r="K10" s="2"/>
      <c r="L10" s="2"/>
    </row>
    <row r="11" spans="1:12" ht="34.5" customHeight="1">
      <c r="A11" s="2"/>
      <c r="B11" s="2"/>
      <c r="C11" s="2"/>
      <c r="D11" s="6" t="s">
        <v>5</v>
      </c>
      <c r="E11" s="6" t="s">
        <v>6</v>
      </c>
      <c r="F11" s="6" t="s">
        <v>7</v>
      </c>
      <c r="G11" s="7" t="s">
        <v>8</v>
      </c>
      <c r="H11" s="7" t="s">
        <v>9</v>
      </c>
      <c r="I11" s="2" t="s">
        <v>10</v>
      </c>
      <c r="J11" s="2"/>
      <c r="K11" s="2"/>
      <c r="L11" s="2"/>
    </row>
    <row r="12" spans="1:12" ht="31.5" customHeight="1">
      <c r="A12" s="1" t="str">
        <f>G12&amp;1</f>
        <v>1000001</v>
      </c>
      <c r="B12" s="1"/>
      <c r="C12" s="1"/>
      <c r="D12" s="8">
        <f>COUNTIF($F$12:F12,"&gt;0")</f>
        <v>1</v>
      </c>
      <c r="E12" s="9" t="s">
        <v>11</v>
      </c>
      <c r="F12" s="8">
        <f>COUNTIF(BangKe!B:B,TTrCDB!A12)</f>
        <v>6</v>
      </c>
      <c r="G12" s="10">
        <v>100000</v>
      </c>
      <c r="H12" s="10">
        <f t="shared" ref="H12:H15" si="0">F12*G12</f>
        <v>600000</v>
      </c>
      <c r="I12" s="1">
        <f>IF(H12&gt;0,1,"")</f>
        <v>1</v>
      </c>
      <c r="J12" s="1"/>
      <c r="K12" s="2"/>
      <c r="L12" s="2"/>
    </row>
    <row r="13" spans="1:12" ht="31.5" customHeight="1">
      <c r="A13" s="1" t="str">
        <f t="shared" ref="A13:A15" si="1">G13&amp;1</f>
        <v>250001</v>
      </c>
      <c r="B13" s="1"/>
      <c r="C13" s="1"/>
      <c r="D13" s="27">
        <f>COUNTIF($F$12:F13,"&gt;0")</f>
        <v>2</v>
      </c>
      <c r="E13" s="9" t="s">
        <v>11</v>
      </c>
      <c r="F13" s="89">
        <f>COUNTIF(BangKe!B:B,TTrCDB!A13)</f>
        <v>56</v>
      </c>
      <c r="G13" s="10">
        <v>25000</v>
      </c>
      <c r="H13" s="10">
        <f t="shared" si="0"/>
        <v>1400000</v>
      </c>
      <c r="I13" s="1">
        <f t="shared" ref="I13:I17" si="2">IF(H13&gt;0,1,"")</f>
        <v>1</v>
      </c>
      <c r="J13" s="1"/>
      <c r="K13" s="2"/>
      <c r="L13" s="2"/>
    </row>
    <row r="14" spans="1:12" s="48" customFormat="1" ht="31.5" hidden="1" customHeight="1">
      <c r="A14" s="1" t="str">
        <f t="shared" ref="A14" si="3">G14&amp;1</f>
        <v>150001</v>
      </c>
      <c r="B14" s="1"/>
      <c r="C14" s="1"/>
      <c r="D14" s="27">
        <f>COUNTIF($F$12:F14,"&gt;0")</f>
        <v>2</v>
      </c>
      <c r="E14" s="9" t="s">
        <v>11</v>
      </c>
      <c r="F14" s="27">
        <f>COUNTIF(BangKe!B:B,TTrCDB!A14)</f>
        <v>0</v>
      </c>
      <c r="G14" s="28">
        <v>15000</v>
      </c>
      <c r="H14" s="28">
        <f t="shared" ref="H14" si="4">F14*G14</f>
        <v>0</v>
      </c>
      <c r="I14" s="1" t="str">
        <f t="shared" si="2"/>
        <v/>
      </c>
      <c r="J14" s="1"/>
      <c r="K14" s="2"/>
      <c r="L14" s="2"/>
    </row>
    <row r="15" spans="1:12" ht="31.5" hidden="1" customHeight="1">
      <c r="A15" s="1" t="str">
        <f t="shared" si="1"/>
        <v>100001</v>
      </c>
      <c r="B15" s="1"/>
      <c r="C15" s="1"/>
      <c r="D15" s="27">
        <f>COUNTIF($F$12:F15,"&gt;0")</f>
        <v>2</v>
      </c>
      <c r="E15" s="9" t="s">
        <v>11</v>
      </c>
      <c r="F15" s="27">
        <f>COUNTIF(BangKe!B:B,TTrCDB!A15)</f>
        <v>0</v>
      </c>
      <c r="G15" s="10">
        <v>10000</v>
      </c>
      <c r="H15" s="10">
        <f t="shared" si="0"/>
        <v>0</v>
      </c>
      <c r="I15" s="1" t="str">
        <f t="shared" si="2"/>
        <v/>
      </c>
      <c r="J15" s="1"/>
      <c r="K15" s="2"/>
      <c r="L15" s="2"/>
    </row>
    <row r="16" spans="1:12" ht="27" hidden="1" customHeight="1">
      <c r="A16" s="1"/>
      <c r="B16" s="1"/>
      <c r="C16" s="1"/>
      <c r="D16" s="11"/>
      <c r="E16" s="12"/>
      <c r="F16" s="13"/>
      <c r="G16" s="14"/>
      <c r="H16" s="8"/>
      <c r="I16" s="1" t="str">
        <f t="shared" si="2"/>
        <v/>
      </c>
      <c r="J16" s="1"/>
      <c r="K16" s="2"/>
      <c r="L16" s="2"/>
    </row>
    <row r="17" spans="1:12" ht="27" customHeight="1">
      <c r="A17" s="1"/>
      <c r="B17" s="1"/>
      <c r="C17" s="1"/>
      <c r="D17" s="147" t="s">
        <v>60</v>
      </c>
      <c r="E17" s="148"/>
      <c r="F17" s="148"/>
      <c r="G17" s="149"/>
      <c r="H17" s="15">
        <f>SUM(H12:H15)</f>
        <v>2000000</v>
      </c>
      <c r="I17" s="1">
        <f t="shared" si="2"/>
        <v>1</v>
      </c>
      <c r="J17" s="1"/>
      <c r="K17" s="2"/>
      <c r="L17" s="2"/>
    </row>
    <row r="18" spans="1:12" ht="27.75" customHeight="1">
      <c r="A18" s="16"/>
      <c r="B18" s="16"/>
      <c r="C18" s="16"/>
      <c r="D18" s="150" t="str">
        <f>BangKe!D365</f>
        <v xml:space="preserve">          Bằng chữ: Hai triệu đồng chẵn.</v>
      </c>
      <c r="E18" s="151"/>
      <c r="F18" s="151"/>
      <c r="G18" s="151"/>
      <c r="H18" s="151"/>
      <c r="I18" s="1">
        <v>1</v>
      </c>
      <c r="J18" s="16"/>
      <c r="K18" s="17"/>
      <c r="L18" s="17"/>
    </row>
    <row r="19" spans="1:12" ht="43.5" customHeight="1">
      <c r="A19" s="1"/>
      <c r="B19" s="1"/>
      <c r="C19" s="1"/>
      <c r="D19" s="140" t="str">
        <f>"         Đính kèm bảng kê, phiếu thu tiền và giấy điều xe đi công tác từ ngày "&amp;TEXT(K9,"dd/MM/yyyy")&amp;" đến ngày "&amp;TEXT(L9,"dd/MM/yyyy")&amp;"."</f>
        <v xml:space="preserve">         Đính kèm bảng kê, phiếu thu tiền và giấy điều xe đi công tác từ ngày 01/04/2019 đến ngày 19/08/2019.</v>
      </c>
      <c r="E19" s="141"/>
      <c r="F19" s="141"/>
      <c r="G19" s="141"/>
      <c r="H19" s="141"/>
      <c r="I19" s="1">
        <v>1</v>
      </c>
      <c r="J19" s="1"/>
      <c r="K19" s="2"/>
      <c r="L19" s="2"/>
    </row>
    <row r="20" spans="1:12" ht="24.75" customHeight="1">
      <c r="A20" s="1"/>
      <c r="B20" s="1"/>
      <c r="C20" s="1"/>
      <c r="D20" s="1"/>
      <c r="E20" s="18" t="s">
        <v>12</v>
      </c>
      <c r="F20" s="1"/>
      <c r="G20" s="1"/>
      <c r="H20" s="1"/>
      <c r="I20" s="1">
        <v>1</v>
      </c>
      <c r="J20" s="1"/>
      <c r="K20" s="2"/>
      <c r="L20" s="2"/>
    </row>
    <row r="21" spans="1:12" ht="20.399999999999999" customHeight="1">
      <c r="A21" s="1"/>
      <c r="B21" s="1"/>
      <c r="C21" s="1"/>
      <c r="D21" s="1"/>
      <c r="E21" s="87" t="s">
        <v>14</v>
      </c>
      <c r="F21" s="88"/>
      <c r="G21" s="154" t="s">
        <v>145</v>
      </c>
      <c r="H21" s="154"/>
      <c r="I21" s="1">
        <v>1</v>
      </c>
      <c r="J21" s="1"/>
      <c r="K21" s="2"/>
      <c r="L21" s="2"/>
    </row>
    <row r="22" spans="1:12" ht="16.5" customHeight="1">
      <c r="A22" s="19"/>
      <c r="B22" s="19"/>
      <c r="C22" s="19"/>
      <c r="D22" s="19"/>
      <c r="E22" s="75"/>
      <c r="F22" s="75"/>
      <c r="G22" s="142"/>
      <c r="H22" s="143"/>
      <c r="I22" s="19"/>
      <c r="J22" s="19"/>
      <c r="K22" s="19"/>
      <c r="L22" s="19"/>
    </row>
    <row r="23" spans="1:12" ht="16.5" customHeight="1">
      <c r="A23" s="19"/>
      <c r="B23" s="19"/>
      <c r="C23" s="19"/>
      <c r="D23" s="19"/>
      <c r="E23" s="75"/>
      <c r="F23" s="75"/>
      <c r="G23" s="75"/>
      <c r="H23" s="75"/>
      <c r="I23" s="19"/>
      <c r="J23" s="19"/>
      <c r="K23" s="19"/>
      <c r="L23" s="19"/>
    </row>
    <row r="24" spans="1:12" ht="16.5" customHeight="1">
      <c r="A24" s="19"/>
      <c r="B24" s="19"/>
      <c r="C24" s="19"/>
      <c r="D24" s="19"/>
      <c r="E24" s="75"/>
      <c r="F24" s="75"/>
      <c r="G24" s="75"/>
      <c r="H24" s="75"/>
      <c r="I24" s="19"/>
      <c r="J24" s="19"/>
      <c r="K24" s="19"/>
      <c r="L24" s="19"/>
    </row>
    <row r="25" spans="1:12" ht="16.5" customHeight="1">
      <c r="A25" s="19"/>
      <c r="B25" s="19"/>
      <c r="C25" s="19"/>
      <c r="D25" s="19"/>
      <c r="E25" s="75"/>
      <c r="F25" s="75"/>
      <c r="G25" s="75"/>
      <c r="H25" s="75"/>
      <c r="I25" s="19"/>
      <c r="J25" s="19"/>
      <c r="K25" s="19"/>
      <c r="L25" s="19"/>
    </row>
    <row r="26" spans="1:12" ht="16.5" customHeight="1">
      <c r="A26" s="19"/>
      <c r="B26" s="19"/>
      <c r="C26" s="19"/>
      <c r="D26" s="19"/>
      <c r="E26" s="75"/>
      <c r="F26" s="75"/>
      <c r="G26" s="75"/>
      <c r="H26" s="75"/>
      <c r="I26" s="19"/>
      <c r="J26" s="19"/>
      <c r="K26" s="19"/>
      <c r="L26" s="19"/>
    </row>
    <row r="27" spans="1:12" ht="26.4" customHeight="1">
      <c r="A27" s="19"/>
      <c r="B27" s="19"/>
      <c r="C27" s="19"/>
      <c r="D27" s="19"/>
      <c r="E27" s="75" t="s">
        <v>15</v>
      </c>
      <c r="F27" s="75"/>
      <c r="G27" s="142" t="str">
        <f>IF(G21="Trưởng Phòng","Hồ Thị Túy Trúc","Lê Ngọc Thanh")</f>
        <v>Lê Ngọc Thanh</v>
      </c>
      <c r="H27" s="142"/>
      <c r="I27" s="19"/>
      <c r="J27" s="19"/>
      <c r="K27" s="19"/>
      <c r="L27" s="19"/>
    </row>
    <row r="28" spans="1:12" ht="16.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 ht="19.5" customHeight="1">
      <c r="A29" s="19"/>
      <c r="B29" s="19"/>
      <c r="C29" s="19"/>
      <c r="D29" s="85" t="s">
        <v>139</v>
      </c>
      <c r="E29" s="19"/>
      <c r="F29" s="19"/>
      <c r="G29" s="142"/>
      <c r="H29" s="144"/>
      <c r="I29" s="19"/>
      <c r="J29" s="19"/>
      <c r="K29" s="19"/>
      <c r="L29" s="19"/>
    </row>
    <row r="30" spans="1:12" ht="16.5" customHeight="1">
      <c r="A30" s="1"/>
      <c r="B30" s="1"/>
      <c r="C30" s="1"/>
      <c r="D30" s="86" t="s">
        <v>140</v>
      </c>
      <c r="E30" s="1"/>
      <c r="F30" s="1"/>
      <c r="G30" s="1"/>
      <c r="H30" s="1"/>
      <c r="I30" s="1"/>
      <c r="J30" s="1"/>
      <c r="K30" s="2"/>
      <c r="L30" s="2"/>
    </row>
    <row r="31" spans="1:12" ht="16.5" customHeight="1">
      <c r="A31" s="1"/>
      <c r="B31" s="1"/>
      <c r="C31" s="1"/>
      <c r="D31" s="86" t="s">
        <v>141</v>
      </c>
      <c r="E31" s="1"/>
      <c r="F31" s="1"/>
      <c r="G31" s="1"/>
      <c r="H31" s="1"/>
      <c r="I31" s="1"/>
      <c r="J31" s="1"/>
      <c r="K31" s="2"/>
      <c r="L31" s="2"/>
    </row>
    <row r="32" spans="1:12" ht="16.5" customHeight="1">
      <c r="A32" s="1"/>
      <c r="B32" s="1"/>
      <c r="C32" s="1"/>
      <c r="D32" s="86" t="s">
        <v>142</v>
      </c>
      <c r="E32" s="1"/>
      <c r="F32" s="1"/>
      <c r="G32" s="1"/>
      <c r="H32" s="1"/>
      <c r="I32" s="1"/>
      <c r="J32" s="1"/>
      <c r="K32" s="2"/>
      <c r="L32" s="2"/>
    </row>
    <row r="33" spans="1:12" ht="16.5" customHeight="1">
      <c r="A33" s="1"/>
      <c r="B33" s="1"/>
      <c r="C33" s="1"/>
      <c r="D33" s="20"/>
      <c r="E33" s="1"/>
      <c r="F33" s="1"/>
      <c r="G33" s="1"/>
      <c r="H33" s="1"/>
      <c r="I33" s="1"/>
      <c r="J33" s="1"/>
      <c r="K33" s="2"/>
      <c r="L33" s="2"/>
    </row>
    <row r="34" spans="1:12" ht="16.5" customHeight="1">
      <c r="A34" s="1"/>
      <c r="B34" s="1"/>
      <c r="C34" s="1"/>
      <c r="D34" s="20"/>
      <c r="E34" s="1"/>
      <c r="F34" s="1"/>
      <c r="G34" s="1"/>
      <c r="H34" s="1"/>
      <c r="I34" s="1"/>
      <c r="J34" s="1"/>
      <c r="K34" s="2"/>
      <c r="L34" s="2"/>
    </row>
    <row r="35" spans="1:12" ht="16.5" customHeight="1">
      <c r="A35" s="1"/>
      <c r="B35" s="1"/>
      <c r="C35" s="1"/>
      <c r="D35" s="21"/>
      <c r="E35" s="1"/>
      <c r="F35" s="1"/>
      <c r="G35" s="1"/>
      <c r="H35" s="1"/>
      <c r="I35" s="1"/>
      <c r="J35" s="1"/>
      <c r="K35" s="2"/>
      <c r="L35" s="2"/>
    </row>
    <row r="36" spans="1:12" ht="16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2"/>
      <c r="L36" s="2"/>
    </row>
    <row r="37" spans="1:12" ht="16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2"/>
      <c r="L37" s="2"/>
    </row>
    <row r="38" spans="1:12" ht="16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2"/>
      <c r="L38" s="2"/>
    </row>
    <row r="39" spans="1:12" ht="16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2"/>
      <c r="L39" s="2"/>
    </row>
    <row r="40" spans="1:12" ht="16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2"/>
    </row>
    <row r="41" spans="1:12" ht="16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2"/>
      <c r="L41" s="2"/>
    </row>
    <row r="42" spans="1:12" ht="16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2"/>
      <c r="L42" s="2"/>
    </row>
    <row r="43" spans="1:12" ht="16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2"/>
      <c r="L43" s="2"/>
    </row>
    <row r="44" spans="1:12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2"/>
      <c r="L44" s="2"/>
    </row>
    <row r="45" spans="1:12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2"/>
      <c r="L45" s="2"/>
    </row>
    <row r="46" spans="1:12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2"/>
      <c r="L46" s="2"/>
    </row>
    <row r="47" spans="1:12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2"/>
      <c r="L47" s="2"/>
    </row>
    <row r="48" spans="1:12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2"/>
      <c r="L48" s="2"/>
    </row>
    <row r="49" spans="1:12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2"/>
      <c r="L49" s="2"/>
    </row>
    <row r="50" spans="1:12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2"/>
      <c r="L50" s="2"/>
    </row>
    <row r="51" spans="1:12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2"/>
      <c r="L51" s="2"/>
    </row>
    <row r="52" spans="1:12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2"/>
      <c r="L52" s="2"/>
    </row>
    <row r="53" spans="1:12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2"/>
      <c r="L53" s="2"/>
    </row>
    <row r="54" spans="1:12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2"/>
      <c r="L54" s="2"/>
    </row>
    <row r="55" spans="1:12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2"/>
      <c r="L55" s="2"/>
    </row>
    <row r="56" spans="1:12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2"/>
      <c r="L56" s="2"/>
    </row>
    <row r="57" spans="1:12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2"/>
      <c r="L57" s="2"/>
    </row>
    <row r="58" spans="1:12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2"/>
      <c r="L58" s="2"/>
    </row>
    <row r="59" spans="1:12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2"/>
      <c r="L59" s="2"/>
    </row>
    <row r="60" spans="1:12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2"/>
      <c r="L60" s="2"/>
    </row>
    <row r="61" spans="1:12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2"/>
      <c r="L61" s="2"/>
    </row>
    <row r="62" spans="1:12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2"/>
      <c r="L62" s="2"/>
    </row>
    <row r="63" spans="1:12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2"/>
      <c r="L63" s="2"/>
    </row>
    <row r="64" spans="1:12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2"/>
      <c r="L64" s="2"/>
    </row>
    <row r="65" spans="1:12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2"/>
      <c r="L65" s="2"/>
    </row>
    <row r="66" spans="1:12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2"/>
      <c r="L66" s="2"/>
    </row>
    <row r="67" spans="1:12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2"/>
      <c r="L67" s="2"/>
    </row>
    <row r="68" spans="1:12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2"/>
      <c r="L68" s="2"/>
    </row>
    <row r="69" spans="1:12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2"/>
      <c r="L69" s="2"/>
    </row>
    <row r="70" spans="1:12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2"/>
      <c r="L70" s="2"/>
    </row>
    <row r="71" spans="1:12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2"/>
      <c r="L71" s="2"/>
    </row>
    <row r="72" spans="1:12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2"/>
      <c r="L72" s="2"/>
    </row>
    <row r="73" spans="1:12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2"/>
      <c r="L73" s="2"/>
    </row>
    <row r="74" spans="1:12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2"/>
      <c r="L74" s="2"/>
    </row>
    <row r="75" spans="1:12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2"/>
      <c r="L75" s="2"/>
    </row>
    <row r="76" spans="1:12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2"/>
      <c r="L76" s="2"/>
    </row>
    <row r="77" spans="1:12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2"/>
      <c r="L77" s="2"/>
    </row>
    <row r="78" spans="1:12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2"/>
      <c r="L78" s="2"/>
    </row>
    <row r="79" spans="1:12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2"/>
      <c r="L79" s="2"/>
    </row>
    <row r="80" spans="1:12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2"/>
      <c r="L80" s="2"/>
    </row>
    <row r="81" spans="1:12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2"/>
      <c r="L81" s="2"/>
    </row>
    <row r="82" spans="1:12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2"/>
      <c r="L82" s="2"/>
    </row>
    <row r="83" spans="1:12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2"/>
      <c r="L83" s="2"/>
    </row>
    <row r="84" spans="1:12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2"/>
      <c r="L84" s="2"/>
    </row>
    <row r="85" spans="1:12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2"/>
      <c r="L85" s="2"/>
    </row>
    <row r="86" spans="1:12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2"/>
      <c r="L86" s="2"/>
    </row>
    <row r="87" spans="1:12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2"/>
      <c r="L87" s="2"/>
    </row>
    <row r="88" spans="1:12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2"/>
      <c r="L88" s="2"/>
    </row>
    <row r="89" spans="1:12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2"/>
      <c r="L89" s="2"/>
    </row>
    <row r="90" spans="1:12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2"/>
      <c r="L90" s="2"/>
    </row>
    <row r="91" spans="1:12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2"/>
      <c r="L91" s="2"/>
    </row>
    <row r="92" spans="1:12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2"/>
      <c r="L92" s="2"/>
    </row>
    <row r="93" spans="1:12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2"/>
      <c r="L93" s="2"/>
    </row>
    <row r="94" spans="1:12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2"/>
      <c r="L94" s="2"/>
    </row>
    <row r="95" spans="1:12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2"/>
      <c r="L95" s="2"/>
    </row>
    <row r="96" spans="1:12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2"/>
      <c r="L96" s="2"/>
    </row>
    <row r="97" spans="1:12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2"/>
      <c r="L97" s="2"/>
    </row>
    <row r="98" spans="1:12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2"/>
      <c r="L98" s="2"/>
    </row>
    <row r="99" spans="1:12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2"/>
      <c r="L99" s="2"/>
    </row>
    <row r="100" spans="1:12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2"/>
      <c r="L100" s="2"/>
    </row>
    <row r="101" spans="1:12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2"/>
      <c r="L101" s="2"/>
    </row>
  </sheetData>
  <autoFilter ref="D11:I21">
    <filterColumn colId="5">
      <customFilters>
        <customFilter operator="notEqual" val=" "/>
      </customFilters>
    </filterColumn>
  </autoFilter>
  <mergeCells count="12">
    <mergeCell ref="D19:H19"/>
    <mergeCell ref="G22:H22"/>
    <mergeCell ref="G29:H29"/>
    <mergeCell ref="D6:H6"/>
    <mergeCell ref="D7:H7"/>
    <mergeCell ref="D8:H8"/>
    <mergeCell ref="D17:G17"/>
    <mergeCell ref="D18:H18"/>
    <mergeCell ref="D9:H9"/>
    <mergeCell ref="D10:H10"/>
    <mergeCell ref="G21:H21"/>
    <mergeCell ref="G27:H27"/>
  </mergeCells>
  <dataValidations count="1">
    <dataValidation type="list" allowBlank="1" showInputMessage="1" showErrorMessage="1" sqref="G21:H21">
      <formula1>"TRƯỞNG PHÒNG,PHÓ TRƯỞNG PHÒNG"</formula1>
    </dataValidation>
  </dataValidations>
  <pageMargins left="0.94488188976377963" right="0.70866141732283472" top="0.74803149606299213" bottom="0.74803149606299213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372"/>
  <sheetViews>
    <sheetView tabSelected="1" workbookViewId="0">
      <selection activeCell="K7" sqref="K7"/>
    </sheetView>
  </sheetViews>
  <sheetFormatPr defaultColWidth="14.44140625" defaultRowHeight="15" customHeight="1" outlineLevelRow="1"/>
  <cols>
    <col min="1" max="1" width="9.109375" customWidth="1"/>
    <col min="2" max="2" width="13.33203125" customWidth="1"/>
    <col min="3" max="3" width="9.109375" customWidth="1"/>
    <col min="4" max="4" width="8" customWidth="1"/>
    <col min="5" max="5" width="21.6640625" style="42" customWidth="1"/>
    <col min="6" max="6" width="19.33203125" customWidth="1"/>
    <col min="7" max="7" width="16.5546875" customWidth="1"/>
    <col min="8" max="8" width="15.6640625" customWidth="1"/>
    <col min="9" max="9" width="9.109375" customWidth="1"/>
    <col min="10" max="11" width="13.5546875" customWidth="1"/>
  </cols>
  <sheetData>
    <row r="1" spans="1:11" ht="16.5" customHeight="1" outlineLevel="1">
      <c r="A1" s="1"/>
      <c r="B1" s="1"/>
      <c r="C1" s="1"/>
      <c r="D1" s="1"/>
      <c r="E1" s="39"/>
      <c r="F1" s="1"/>
      <c r="G1" s="1"/>
      <c r="H1" s="1"/>
      <c r="I1" s="1"/>
      <c r="J1" s="2"/>
      <c r="K1" s="2"/>
    </row>
    <row r="2" spans="1:11" ht="16.5" customHeight="1" outlineLevel="1">
      <c r="A2" s="1"/>
      <c r="B2" s="1"/>
      <c r="C2" s="1"/>
      <c r="D2" s="1"/>
      <c r="E2" s="39"/>
      <c r="F2" s="1"/>
      <c r="G2" s="1"/>
      <c r="H2" s="1"/>
      <c r="I2" s="1"/>
      <c r="J2" s="2"/>
      <c r="K2" s="2"/>
    </row>
    <row r="3" spans="1:11" ht="16.5" customHeight="1" outlineLevel="1">
      <c r="A3" s="1"/>
      <c r="B3" s="1"/>
      <c r="C3" s="1"/>
      <c r="D3" s="1"/>
      <c r="E3" s="39"/>
      <c r="F3" s="1"/>
      <c r="G3" s="1"/>
      <c r="H3" s="1"/>
      <c r="I3" s="1"/>
      <c r="J3" s="2"/>
      <c r="K3" s="2"/>
    </row>
    <row r="4" spans="1:11" ht="16.5" customHeight="1" outlineLevel="1">
      <c r="A4" s="1"/>
      <c r="B4" s="1"/>
      <c r="C4" s="1"/>
      <c r="D4" s="1"/>
      <c r="E4" s="39"/>
      <c r="F4" s="1"/>
      <c r="G4" s="1"/>
      <c r="H4" s="22" t="str">
        <f>IF(K4&lt;&gt;0,"Xuân Lộc, ngày "&amp;TEXT(K4,"dd")&amp;" tháng "&amp;TEXT(K4,"MM")&amp;" năm "&amp;TEXT(K4,"yyyy"),"Xuân Lộc, ngày        tháng        năm 2019")</f>
        <v>Xuân Lộc, ngày        tháng        năm 2019</v>
      </c>
      <c r="I4" s="1"/>
      <c r="J4" s="2"/>
      <c r="K4" s="4"/>
    </row>
    <row r="5" spans="1:11" ht="16.5" customHeight="1" outlineLevel="1">
      <c r="A5" s="1"/>
      <c r="B5" s="1"/>
      <c r="C5" s="1"/>
      <c r="D5" s="1"/>
      <c r="E5" s="39"/>
      <c r="F5" s="1"/>
      <c r="G5" s="1"/>
      <c r="H5" s="1"/>
      <c r="I5" s="1"/>
      <c r="J5" s="2" t="s">
        <v>17</v>
      </c>
      <c r="K5" s="2" t="s">
        <v>3</v>
      </c>
    </row>
    <row r="6" spans="1:11" ht="29.25" customHeight="1" outlineLevel="1">
      <c r="A6" s="1"/>
      <c r="B6" s="1"/>
      <c r="C6" s="1"/>
      <c r="D6" s="145" t="s">
        <v>18</v>
      </c>
      <c r="E6" s="144"/>
      <c r="F6" s="144"/>
      <c r="G6" s="144"/>
      <c r="H6" s="144"/>
      <c r="I6" s="1">
        <v>60773</v>
      </c>
      <c r="J6" s="5">
        <v>43556</v>
      </c>
      <c r="K6" s="5">
        <v>43696</v>
      </c>
    </row>
    <row r="7" spans="1:11" ht="26.25" customHeight="1">
      <c r="A7" s="23"/>
      <c r="B7" s="23"/>
      <c r="C7" s="23"/>
      <c r="D7" s="156" t="str">
        <f>"Xe ô tô "&amp;VLOOKUP("x",data!A:B,2,0)</f>
        <v>Xe ô tô Toyota - Inova biển số 60A-607.73</v>
      </c>
      <c r="E7" s="144"/>
      <c r="F7" s="144"/>
      <c r="G7" s="144"/>
      <c r="H7" s="144"/>
      <c r="I7" s="23"/>
      <c r="J7" s="24"/>
      <c r="K7" s="24"/>
    </row>
    <row r="8" spans="1:11" ht="34.5" customHeight="1">
      <c r="A8" s="2"/>
      <c r="B8" s="2"/>
      <c r="C8" s="2"/>
      <c r="D8" s="6" t="s">
        <v>5</v>
      </c>
      <c r="E8" s="40" t="s">
        <v>138</v>
      </c>
      <c r="F8" s="6" t="s">
        <v>21</v>
      </c>
      <c r="G8" s="7" t="s">
        <v>22</v>
      </c>
      <c r="H8" s="7" t="s">
        <v>23</v>
      </c>
      <c r="I8" s="2" t="s">
        <v>10</v>
      </c>
      <c r="J8" s="2"/>
      <c r="K8" s="2"/>
    </row>
    <row r="9" spans="1:11" ht="27" hidden="1" customHeight="1" outlineLevel="1">
      <c r="A9" s="1"/>
      <c r="B9" s="1" t="str">
        <f t="shared" ref="B9:B363" si="0">G9&amp;I9</f>
        <v>250000</v>
      </c>
      <c r="C9" s="1"/>
      <c r="D9" s="8">
        <f t="shared" ref="D9:D363" si="1">SUM($I$8:I9)</f>
        <v>0</v>
      </c>
      <c r="E9" s="33">
        <v>43102</v>
      </c>
      <c r="F9" s="82" t="s">
        <v>24</v>
      </c>
      <c r="G9" s="25">
        <v>25000</v>
      </c>
      <c r="H9" s="10"/>
      <c r="I9" s="1">
        <f t="shared" ref="I9:I72" si="2">IF(AND(E9&gt;=$J$6,E9&lt;=$K$6,A9=$I$6),1,0)</f>
        <v>0</v>
      </c>
      <c r="J9" s="2"/>
      <c r="K9" s="2"/>
    </row>
    <row r="10" spans="1:11" ht="27" hidden="1" customHeight="1" outlineLevel="1">
      <c r="A10" s="1"/>
      <c r="B10" s="1" t="str">
        <f t="shared" si="0"/>
        <v>250000</v>
      </c>
      <c r="C10" s="1"/>
      <c r="D10" s="8">
        <f t="shared" si="1"/>
        <v>0</v>
      </c>
      <c r="E10" s="33">
        <v>43102</v>
      </c>
      <c r="F10" s="82" t="s">
        <v>25</v>
      </c>
      <c r="G10" s="25">
        <v>25000</v>
      </c>
      <c r="H10" s="10"/>
      <c r="I10" s="1">
        <f t="shared" si="2"/>
        <v>0</v>
      </c>
      <c r="J10" s="2"/>
      <c r="K10" s="2"/>
    </row>
    <row r="11" spans="1:11" ht="27" hidden="1" customHeight="1" outlineLevel="1">
      <c r="A11" s="1"/>
      <c r="B11" s="1" t="str">
        <f t="shared" si="0"/>
        <v>250000</v>
      </c>
      <c r="C11" s="1"/>
      <c r="D11" s="8">
        <f t="shared" si="1"/>
        <v>0</v>
      </c>
      <c r="E11" s="33">
        <v>43105</v>
      </c>
      <c r="F11" s="82" t="s">
        <v>26</v>
      </c>
      <c r="G11" s="25">
        <v>25000</v>
      </c>
      <c r="H11" s="10"/>
      <c r="I11" s="1">
        <f t="shared" si="2"/>
        <v>0</v>
      </c>
      <c r="J11" s="2"/>
      <c r="K11" s="2"/>
    </row>
    <row r="12" spans="1:11" ht="27" hidden="1" customHeight="1" outlineLevel="1">
      <c r="A12" s="1"/>
      <c r="B12" s="1" t="str">
        <f t="shared" si="0"/>
        <v>250000</v>
      </c>
      <c r="C12" s="1"/>
      <c r="D12" s="8">
        <f t="shared" si="1"/>
        <v>0</v>
      </c>
      <c r="E12" s="33">
        <v>43105</v>
      </c>
      <c r="F12" s="82" t="s">
        <v>27</v>
      </c>
      <c r="G12" s="25">
        <v>25000</v>
      </c>
      <c r="H12" s="10"/>
      <c r="I12" s="1">
        <f t="shared" si="2"/>
        <v>0</v>
      </c>
      <c r="J12" s="2"/>
      <c r="K12" s="2"/>
    </row>
    <row r="13" spans="1:11" ht="27" hidden="1" customHeight="1" outlineLevel="1">
      <c r="A13" s="1"/>
      <c r="B13" s="1" t="str">
        <f t="shared" si="0"/>
        <v>250000</v>
      </c>
      <c r="C13" s="1"/>
      <c r="D13" s="8">
        <f t="shared" si="1"/>
        <v>0</v>
      </c>
      <c r="E13" s="33">
        <v>43106</v>
      </c>
      <c r="F13" s="82" t="s">
        <v>28</v>
      </c>
      <c r="G13" s="25">
        <v>25000</v>
      </c>
      <c r="H13" s="10"/>
      <c r="I13" s="1">
        <f t="shared" si="2"/>
        <v>0</v>
      </c>
      <c r="J13" s="2"/>
      <c r="K13" s="2"/>
    </row>
    <row r="14" spans="1:11" ht="27" hidden="1" customHeight="1" outlineLevel="1">
      <c r="A14" s="1"/>
      <c r="B14" s="1" t="str">
        <f t="shared" si="0"/>
        <v>250000</v>
      </c>
      <c r="C14" s="1"/>
      <c r="D14" s="8">
        <f t="shared" si="1"/>
        <v>0</v>
      </c>
      <c r="E14" s="34">
        <v>43106</v>
      </c>
      <c r="F14" s="82" t="s">
        <v>29</v>
      </c>
      <c r="G14" s="25">
        <v>25000</v>
      </c>
      <c r="H14" s="10"/>
      <c r="I14" s="1">
        <f t="shared" si="2"/>
        <v>0</v>
      </c>
      <c r="J14" s="2"/>
      <c r="K14" s="2"/>
    </row>
    <row r="15" spans="1:11" ht="27" hidden="1" customHeight="1" outlineLevel="1">
      <c r="A15" s="1"/>
      <c r="B15" s="1" t="str">
        <f t="shared" si="0"/>
        <v>250000</v>
      </c>
      <c r="C15" s="1"/>
      <c r="D15" s="8">
        <f t="shared" si="1"/>
        <v>0</v>
      </c>
      <c r="E15" s="33">
        <v>43108</v>
      </c>
      <c r="F15" s="82" t="s">
        <v>30</v>
      </c>
      <c r="G15" s="25">
        <v>25000</v>
      </c>
      <c r="H15" s="10"/>
      <c r="I15" s="1">
        <f t="shared" si="2"/>
        <v>0</v>
      </c>
      <c r="J15" s="2"/>
      <c r="K15" s="2"/>
    </row>
    <row r="16" spans="1:11" ht="27" hidden="1" customHeight="1" outlineLevel="1">
      <c r="A16" s="1"/>
      <c r="B16" s="1" t="str">
        <f t="shared" si="0"/>
        <v>250000</v>
      </c>
      <c r="C16" s="1"/>
      <c r="D16" s="8">
        <f t="shared" si="1"/>
        <v>0</v>
      </c>
      <c r="E16" s="33">
        <v>43108</v>
      </c>
      <c r="F16" s="82" t="s">
        <v>31</v>
      </c>
      <c r="G16" s="25">
        <v>25000</v>
      </c>
      <c r="H16" s="10"/>
      <c r="I16" s="1">
        <f t="shared" si="2"/>
        <v>0</v>
      </c>
      <c r="J16" s="2"/>
      <c r="K16" s="2"/>
    </row>
    <row r="17" spans="1:12" ht="27" hidden="1" customHeight="1" outlineLevel="1">
      <c r="A17" s="1"/>
      <c r="B17" s="1" t="str">
        <f t="shared" si="0"/>
        <v>250000</v>
      </c>
      <c r="C17" s="1"/>
      <c r="D17" s="8">
        <f t="shared" si="1"/>
        <v>0</v>
      </c>
      <c r="E17" s="33">
        <v>43109</v>
      </c>
      <c r="F17" s="82" t="s">
        <v>32</v>
      </c>
      <c r="G17" s="25">
        <v>25000</v>
      </c>
      <c r="H17" s="10"/>
      <c r="I17" s="1">
        <f t="shared" si="2"/>
        <v>0</v>
      </c>
      <c r="J17" s="2"/>
      <c r="K17" s="2"/>
    </row>
    <row r="18" spans="1:12" ht="27" hidden="1" customHeight="1" outlineLevel="1">
      <c r="A18" s="1"/>
      <c r="B18" s="1" t="str">
        <f t="shared" si="0"/>
        <v>250000</v>
      </c>
      <c r="C18" s="1"/>
      <c r="D18" s="8">
        <f t="shared" si="1"/>
        <v>0</v>
      </c>
      <c r="E18" s="33">
        <v>43109</v>
      </c>
      <c r="F18" s="82" t="s">
        <v>33</v>
      </c>
      <c r="G18" s="25">
        <v>25000</v>
      </c>
      <c r="H18" s="10"/>
      <c r="I18" s="1">
        <f t="shared" si="2"/>
        <v>0</v>
      </c>
      <c r="J18" s="2"/>
      <c r="K18" s="2"/>
    </row>
    <row r="19" spans="1:12" ht="27" hidden="1" customHeight="1" outlineLevel="1">
      <c r="A19" s="1"/>
      <c r="B19" s="1" t="str">
        <f t="shared" si="0"/>
        <v>250000</v>
      </c>
      <c r="C19" s="1"/>
      <c r="D19" s="8">
        <f t="shared" si="1"/>
        <v>0</v>
      </c>
      <c r="E19" s="33">
        <v>43111</v>
      </c>
      <c r="F19" s="82" t="s">
        <v>34</v>
      </c>
      <c r="G19" s="25">
        <v>25000</v>
      </c>
      <c r="H19" s="10"/>
      <c r="I19" s="1">
        <f t="shared" si="2"/>
        <v>0</v>
      </c>
      <c r="J19" s="2"/>
      <c r="K19" s="2"/>
    </row>
    <row r="20" spans="1:12" ht="27" hidden="1" customHeight="1" outlineLevel="1">
      <c r="A20" s="1"/>
      <c r="B20" s="1" t="str">
        <f t="shared" si="0"/>
        <v>250000</v>
      </c>
      <c r="C20" s="1"/>
      <c r="D20" s="8">
        <f t="shared" si="1"/>
        <v>0</v>
      </c>
      <c r="E20" s="33">
        <v>43111</v>
      </c>
      <c r="F20" s="82" t="s">
        <v>35</v>
      </c>
      <c r="G20" s="25">
        <v>25000</v>
      </c>
      <c r="H20" s="10"/>
      <c r="I20" s="1">
        <f t="shared" si="2"/>
        <v>0</v>
      </c>
      <c r="J20" s="2"/>
      <c r="K20" s="2"/>
    </row>
    <row r="21" spans="1:12" ht="27" hidden="1" customHeight="1" outlineLevel="1">
      <c r="A21" s="1"/>
      <c r="B21" s="1" t="str">
        <f t="shared" si="0"/>
        <v>250000</v>
      </c>
      <c r="C21" s="1"/>
      <c r="D21" s="8">
        <f t="shared" si="1"/>
        <v>0</v>
      </c>
      <c r="E21" s="33">
        <v>43112</v>
      </c>
      <c r="F21" s="82" t="s">
        <v>36</v>
      </c>
      <c r="G21" s="25">
        <v>25000</v>
      </c>
      <c r="H21" s="10"/>
      <c r="I21" s="1">
        <f t="shared" si="2"/>
        <v>0</v>
      </c>
      <c r="J21" s="2"/>
      <c r="K21" s="2"/>
    </row>
    <row r="22" spans="1:12" ht="27" hidden="1" customHeight="1" outlineLevel="1">
      <c r="A22" s="1"/>
      <c r="B22" s="1" t="str">
        <f t="shared" si="0"/>
        <v>250000</v>
      </c>
      <c r="C22" s="1"/>
      <c r="D22" s="8">
        <f t="shared" si="1"/>
        <v>0</v>
      </c>
      <c r="E22" s="33">
        <v>43112</v>
      </c>
      <c r="F22" s="83" t="s">
        <v>37</v>
      </c>
      <c r="G22" s="25">
        <v>25000</v>
      </c>
      <c r="H22" s="10"/>
      <c r="I22" s="1">
        <f t="shared" si="2"/>
        <v>0</v>
      </c>
      <c r="J22" s="2"/>
      <c r="K22" s="2"/>
    </row>
    <row r="23" spans="1:12" ht="27" hidden="1" customHeight="1" outlineLevel="1">
      <c r="A23" s="1"/>
      <c r="B23" s="1" t="str">
        <f t="shared" si="0"/>
        <v>250000</v>
      </c>
      <c r="C23" s="1"/>
      <c r="D23" s="8">
        <f t="shared" si="1"/>
        <v>0</v>
      </c>
      <c r="E23" s="33">
        <v>43116</v>
      </c>
      <c r="F23" s="82" t="s">
        <v>38</v>
      </c>
      <c r="G23" s="25">
        <v>25000</v>
      </c>
      <c r="H23" s="10"/>
      <c r="I23" s="1">
        <f t="shared" si="2"/>
        <v>0</v>
      </c>
      <c r="J23" s="2"/>
      <c r="K23" s="2"/>
    </row>
    <row r="24" spans="1:12" ht="27" hidden="1" customHeight="1" outlineLevel="1">
      <c r="A24" s="1"/>
      <c r="B24" s="1" t="str">
        <f t="shared" si="0"/>
        <v>250000</v>
      </c>
      <c r="C24" s="1"/>
      <c r="D24" s="8">
        <f t="shared" si="1"/>
        <v>0</v>
      </c>
      <c r="E24" s="34">
        <v>43116</v>
      </c>
      <c r="F24" s="83" t="s">
        <v>39</v>
      </c>
      <c r="G24" s="25">
        <v>25000</v>
      </c>
      <c r="H24" s="10"/>
      <c r="I24" s="1">
        <f t="shared" si="2"/>
        <v>0</v>
      </c>
      <c r="J24" s="2"/>
      <c r="K24" s="2"/>
    </row>
    <row r="25" spans="1:12" ht="27" hidden="1" customHeight="1" outlineLevel="1">
      <c r="A25" s="1"/>
      <c r="B25" s="1" t="str">
        <f t="shared" si="0"/>
        <v>250000</v>
      </c>
      <c r="C25" s="1"/>
      <c r="D25" s="8">
        <f t="shared" si="1"/>
        <v>0</v>
      </c>
      <c r="E25" s="33">
        <v>43118</v>
      </c>
      <c r="F25" s="82">
        <v>1578804</v>
      </c>
      <c r="G25" s="25">
        <v>25000</v>
      </c>
      <c r="H25" s="10"/>
      <c r="I25" s="1">
        <f t="shared" si="2"/>
        <v>0</v>
      </c>
      <c r="J25" s="2"/>
      <c r="K25" s="2"/>
      <c r="L25" s="26"/>
    </row>
    <row r="26" spans="1:12" ht="27" hidden="1" customHeight="1" outlineLevel="1">
      <c r="A26" s="1"/>
      <c r="B26" s="1" t="str">
        <f t="shared" si="0"/>
        <v>250000</v>
      </c>
      <c r="C26" s="1"/>
      <c r="D26" s="8">
        <f t="shared" si="1"/>
        <v>0</v>
      </c>
      <c r="E26" s="33">
        <v>43118</v>
      </c>
      <c r="F26" s="82">
        <v>1597540</v>
      </c>
      <c r="G26" s="25">
        <v>25000</v>
      </c>
      <c r="H26" s="10"/>
      <c r="I26" s="1">
        <f t="shared" si="2"/>
        <v>0</v>
      </c>
      <c r="J26" s="2"/>
      <c r="K26" s="2"/>
      <c r="L26" s="26"/>
    </row>
    <row r="27" spans="1:12" ht="27" hidden="1" customHeight="1" outlineLevel="1">
      <c r="A27" s="1"/>
      <c r="B27" s="1" t="str">
        <f t="shared" si="0"/>
        <v>250000</v>
      </c>
      <c r="C27" s="1"/>
      <c r="D27" s="8">
        <f t="shared" si="1"/>
        <v>0</v>
      </c>
      <c r="E27" s="33">
        <v>43123</v>
      </c>
      <c r="F27" s="82" t="s">
        <v>40</v>
      </c>
      <c r="G27" s="25">
        <v>25000</v>
      </c>
      <c r="H27" s="10"/>
      <c r="I27" s="1">
        <f t="shared" si="2"/>
        <v>0</v>
      </c>
      <c r="J27" s="2"/>
      <c r="K27" s="2"/>
    </row>
    <row r="28" spans="1:12" ht="27" hidden="1" customHeight="1" outlineLevel="1">
      <c r="A28" s="1"/>
      <c r="B28" s="1" t="str">
        <f t="shared" si="0"/>
        <v>250000</v>
      </c>
      <c r="C28" s="1"/>
      <c r="D28" s="8">
        <f t="shared" si="1"/>
        <v>0</v>
      </c>
      <c r="E28" s="33">
        <v>43123</v>
      </c>
      <c r="F28" s="82" t="s">
        <v>41</v>
      </c>
      <c r="G28" s="25">
        <v>25000</v>
      </c>
      <c r="H28" s="10"/>
      <c r="I28" s="1">
        <f t="shared" si="2"/>
        <v>0</v>
      </c>
      <c r="J28" s="2"/>
      <c r="K28" s="2"/>
    </row>
    <row r="29" spans="1:12" ht="27" hidden="1" customHeight="1" outlineLevel="1">
      <c r="A29" s="1"/>
      <c r="B29" s="1" t="str">
        <f t="shared" si="0"/>
        <v>250000</v>
      </c>
      <c r="C29" s="1"/>
      <c r="D29" s="8">
        <f t="shared" si="1"/>
        <v>0</v>
      </c>
      <c r="E29" s="33">
        <v>43126</v>
      </c>
      <c r="F29" s="82">
        <v>1127815</v>
      </c>
      <c r="G29" s="25">
        <v>25000</v>
      </c>
      <c r="H29" s="10"/>
      <c r="I29" s="1">
        <f t="shared" si="2"/>
        <v>0</v>
      </c>
      <c r="J29" s="2"/>
      <c r="K29" s="2"/>
      <c r="L29" s="26"/>
    </row>
    <row r="30" spans="1:12" ht="27" hidden="1" customHeight="1" outlineLevel="1">
      <c r="A30" s="1"/>
      <c r="B30" s="1" t="str">
        <f t="shared" si="0"/>
        <v>250000</v>
      </c>
      <c r="C30" s="1"/>
      <c r="D30" s="8">
        <f t="shared" si="1"/>
        <v>0</v>
      </c>
      <c r="E30" s="33">
        <v>43126</v>
      </c>
      <c r="F30" s="82">
        <v>1122902</v>
      </c>
      <c r="G30" s="25">
        <v>25000</v>
      </c>
      <c r="H30" s="10"/>
      <c r="I30" s="1">
        <f t="shared" si="2"/>
        <v>0</v>
      </c>
      <c r="J30" s="2"/>
      <c r="K30" s="2"/>
      <c r="L30" s="26"/>
    </row>
    <row r="31" spans="1:12" ht="27" hidden="1" customHeight="1" outlineLevel="1">
      <c r="A31" s="1"/>
      <c r="B31" s="1" t="str">
        <f t="shared" si="0"/>
        <v>250000</v>
      </c>
      <c r="C31" s="1"/>
      <c r="D31" s="8">
        <f t="shared" si="1"/>
        <v>0</v>
      </c>
      <c r="E31" s="33">
        <v>43129</v>
      </c>
      <c r="F31" s="82">
        <v>1506705</v>
      </c>
      <c r="G31" s="25">
        <v>25000</v>
      </c>
      <c r="H31" s="10"/>
      <c r="I31" s="1">
        <f t="shared" si="2"/>
        <v>0</v>
      </c>
      <c r="J31" s="2"/>
      <c r="K31" s="2"/>
      <c r="L31" s="26"/>
    </row>
    <row r="32" spans="1:12" ht="27" hidden="1" customHeight="1" outlineLevel="1">
      <c r="A32" s="1"/>
      <c r="B32" s="1" t="str">
        <f t="shared" si="0"/>
        <v>250000</v>
      </c>
      <c r="C32" s="1"/>
      <c r="D32" s="8">
        <f t="shared" si="1"/>
        <v>0</v>
      </c>
      <c r="E32" s="33">
        <v>43129</v>
      </c>
      <c r="F32" s="82">
        <v>1213669</v>
      </c>
      <c r="G32" s="25">
        <v>25000</v>
      </c>
      <c r="H32" s="10"/>
      <c r="I32" s="1">
        <f t="shared" si="2"/>
        <v>0</v>
      </c>
      <c r="J32" s="2"/>
      <c r="K32" s="2"/>
      <c r="L32" s="26"/>
    </row>
    <row r="33" spans="1:12" ht="27" hidden="1" customHeight="1" outlineLevel="1">
      <c r="A33" s="1"/>
      <c r="B33" s="1" t="str">
        <f t="shared" si="0"/>
        <v>250000</v>
      </c>
      <c r="C33" s="1"/>
      <c r="D33" s="8">
        <f t="shared" si="1"/>
        <v>0</v>
      </c>
      <c r="E33" s="33">
        <v>43132</v>
      </c>
      <c r="F33" s="82" t="s">
        <v>42</v>
      </c>
      <c r="G33" s="25">
        <v>25000</v>
      </c>
      <c r="H33" s="10"/>
      <c r="I33" s="1">
        <f t="shared" si="2"/>
        <v>0</v>
      </c>
      <c r="J33" s="2"/>
      <c r="K33" s="2"/>
    </row>
    <row r="34" spans="1:12" ht="27" hidden="1" customHeight="1" outlineLevel="1">
      <c r="A34" s="1"/>
      <c r="B34" s="1" t="str">
        <f t="shared" si="0"/>
        <v>250000</v>
      </c>
      <c r="C34" s="1"/>
      <c r="D34" s="8">
        <f t="shared" si="1"/>
        <v>0</v>
      </c>
      <c r="E34" s="33">
        <v>43132</v>
      </c>
      <c r="F34" s="82" t="s">
        <v>43</v>
      </c>
      <c r="G34" s="25">
        <v>25000</v>
      </c>
      <c r="H34" s="10"/>
      <c r="I34" s="1">
        <f t="shared" si="2"/>
        <v>0</v>
      </c>
      <c r="J34" s="2"/>
      <c r="K34" s="2"/>
    </row>
    <row r="35" spans="1:12" ht="27" hidden="1" customHeight="1" outlineLevel="1">
      <c r="A35" s="1"/>
      <c r="B35" s="1" t="str">
        <f t="shared" si="0"/>
        <v>250000</v>
      </c>
      <c r="C35" s="1"/>
      <c r="D35" s="8">
        <f t="shared" si="1"/>
        <v>0</v>
      </c>
      <c r="E35" s="33">
        <v>43138</v>
      </c>
      <c r="F35" s="82" t="s">
        <v>44</v>
      </c>
      <c r="G35" s="25">
        <v>25000</v>
      </c>
      <c r="H35" s="10"/>
      <c r="I35" s="1">
        <f t="shared" si="2"/>
        <v>0</v>
      </c>
      <c r="J35" s="2"/>
      <c r="K35" s="2"/>
    </row>
    <row r="36" spans="1:12" ht="27" hidden="1" customHeight="1" outlineLevel="1">
      <c r="A36" s="1"/>
      <c r="B36" s="1" t="str">
        <f t="shared" si="0"/>
        <v>250000</v>
      </c>
      <c r="C36" s="1"/>
      <c r="D36" s="8">
        <f t="shared" si="1"/>
        <v>0</v>
      </c>
      <c r="E36" s="34">
        <v>43138</v>
      </c>
      <c r="F36" s="82" t="s">
        <v>45</v>
      </c>
      <c r="G36" s="25">
        <v>25000</v>
      </c>
      <c r="H36" s="10"/>
      <c r="I36" s="1">
        <f t="shared" si="2"/>
        <v>0</v>
      </c>
      <c r="J36" s="2"/>
      <c r="K36" s="2"/>
    </row>
    <row r="37" spans="1:12" ht="27" hidden="1" customHeight="1" outlineLevel="1">
      <c r="A37" s="1"/>
      <c r="B37" s="1" t="str">
        <f t="shared" si="0"/>
        <v>250000</v>
      </c>
      <c r="C37" s="1"/>
      <c r="D37" s="8">
        <f t="shared" si="1"/>
        <v>0</v>
      </c>
      <c r="E37" s="33">
        <v>43140</v>
      </c>
      <c r="F37" s="82" t="s">
        <v>46</v>
      </c>
      <c r="G37" s="25">
        <v>25000</v>
      </c>
      <c r="H37" s="10"/>
      <c r="I37" s="1">
        <f t="shared" si="2"/>
        <v>0</v>
      </c>
      <c r="J37" s="2"/>
      <c r="K37" s="2"/>
    </row>
    <row r="38" spans="1:12" ht="27" hidden="1" customHeight="1" outlineLevel="1">
      <c r="A38" s="1"/>
      <c r="B38" s="1" t="str">
        <f t="shared" si="0"/>
        <v>250000</v>
      </c>
      <c r="C38" s="1"/>
      <c r="D38" s="8">
        <f t="shared" si="1"/>
        <v>0</v>
      </c>
      <c r="E38" s="34">
        <v>43140</v>
      </c>
      <c r="F38" s="82" t="s">
        <v>47</v>
      </c>
      <c r="G38" s="25">
        <v>25000</v>
      </c>
      <c r="H38" s="10"/>
      <c r="I38" s="1">
        <f t="shared" si="2"/>
        <v>0</v>
      </c>
      <c r="J38" s="2"/>
      <c r="K38" s="2"/>
    </row>
    <row r="39" spans="1:12" ht="27" hidden="1" customHeight="1" outlineLevel="1">
      <c r="A39" s="1"/>
      <c r="B39" s="1" t="str">
        <f t="shared" si="0"/>
        <v>250000</v>
      </c>
      <c r="C39" s="1"/>
      <c r="D39" s="8">
        <f t="shared" si="1"/>
        <v>0</v>
      </c>
      <c r="E39" s="33">
        <v>43157</v>
      </c>
      <c r="F39" s="82" t="s">
        <v>48</v>
      </c>
      <c r="G39" s="25">
        <v>25000</v>
      </c>
      <c r="H39" s="10"/>
      <c r="I39" s="1">
        <f t="shared" si="2"/>
        <v>0</v>
      </c>
      <c r="J39" s="2"/>
      <c r="K39" s="2"/>
    </row>
    <row r="40" spans="1:12" ht="27" hidden="1" customHeight="1" outlineLevel="1">
      <c r="A40" s="1"/>
      <c r="B40" s="1" t="str">
        <f t="shared" si="0"/>
        <v>250000</v>
      </c>
      <c r="C40" s="1"/>
      <c r="D40" s="8">
        <f t="shared" si="1"/>
        <v>0</v>
      </c>
      <c r="E40" s="33">
        <v>43157</v>
      </c>
      <c r="F40" s="82" t="s">
        <v>49</v>
      </c>
      <c r="G40" s="25">
        <v>25000</v>
      </c>
      <c r="H40" s="10"/>
      <c r="I40" s="1">
        <f t="shared" si="2"/>
        <v>0</v>
      </c>
      <c r="J40" s="2"/>
      <c r="K40" s="2"/>
    </row>
    <row r="41" spans="1:12" ht="27" hidden="1" customHeight="1" outlineLevel="1">
      <c r="A41" s="1"/>
      <c r="B41" s="1" t="str">
        <f t="shared" si="0"/>
        <v>250000</v>
      </c>
      <c r="C41" s="1"/>
      <c r="D41" s="8">
        <f t="shared" si="1"/>
        <v>0</v>
      </c>
      <c r="E41" s="33">
        <v>43159</v>
      </c>
      <c r="F41" s="82" t="s">
        <v>50</v>
      </c>
      <c r="G41" s="25">
        <v>25000</v>
      </c>
      <c r="H41" s="10"/>
      <c r="I41" s="1">
        <f t="shared" si="2"/>
        <v>0</v>
      </c>
      <c r="J41" s="2"/>
      <c r="K41" s="2"/>
    </row>
    <row r="42" spans="1:12" ht="27" hidden="1" customHeight="1" outlineLevel="1">
      <c r="A42" s="1"/>
      <c r="B42" s="1" t="str">
        <f t="shared" si="0"/>
        <v>250000</v>
      </c>
      <c r="C42" s="1"/>
      <c r="D42" s="8">
        <f t="shared" si="1"/>
        <v>0</v>
      </c>
      <c r="E42" s="33">
        <v>43159</v>
      </c>
      <c r="F42" s="82" t="s">
        <v>51</v>
      </c>
      <c r="G42" s="25">
        <v>25000</v>
      </c>
      <c r="H42" s="10"/>
      <c r="I42" s="1">
        <f t="shared" si="2"/>
        <v>0</v>
      </c>
      <c r="J42" s="2"/>
      <c r="K42" s="2"/>
    </row>
    <row r="43" spans="1:12" ht="27" hidden="1" customHeight="1" outlineLevel="1">
      <c r="A43" s="1"/>
      <c r="B43" s="1" t="str">
        <f t="shared" si="0"/>
        <v>250000</v>
      </c>
      <c r="C43" s="1"/>
      <c r="D43" s="8">
        <f t="shared" si="1"/>
        <v>0</v>
      </c>
      <c r="E43" s="33">
        <v>43162</v>
      </c>
      <c r="F43" s="82" t="s">
        <v>52</v>
      </c>
      <c r="G43" s="25">
        <v>25000</v>
      </c>
      <c r="H43" s="10"/>
      <c r="I43" s="1">
        <f t="shared" si="2"/>
        <v>0</v>
      </c>
      <c r="J43" s="2"/>
      <c r="K43" s="2"/>
      <c r="L43" s="26"/>
    </row>
    <row r="44" spans="1:12" ht="27" hidden="1" customHeight="1" outlineLevel="1">
      <c r="A44" s="1"/>
      <c r="B44" s="1" t="str">
        <f t="shared" si="0"/>
        <v>250000</v>
      </c>
      <c r="C44" s="1"/>
      <c r="D44" s="8">
        <f t="shared" si="1"/>
        <v>0</v>
      </c>
      <c r="E44" s="33">
        <v>43162</v>
      </c>
      <c r="F44" s="83" t="s">
        <v>53</v>
      </c>
      <c r="G44" s="25">
        <v>25000</v>
      </c>
      <c r="H44" s="10"/>
      <c r="I44" s="1">
        <f t="shared" si="2"/>
        <v>0</v>
      </c>
      <c r="J44" s="2"/>
      <c r="K44" s="2"/>
    </row>
    <row r="45" spans="1:12" ht="27" hidden="1" customHeight="1" outlineLevel="1">
      <c r="A45" s="1"/>
      <c r="B45" s="1" t="str">
        <f t="shared" si="0"/>
        <v>250000</v>
      </c>
      <c r="C45" s="1"/>
      <c r="D45" s="8">
        <f t="shared" si="1"/>
        <v>0</v>
      </c>
      <c r="E45" s="33">
        <v>43164</v>
      </c>
      <c r="F45" s="82" t="s">
        <v>54</v>
      </c>
      <c r="G45" s="25">
        <v>25000</v>
      </c>
      <c r="H45" s="10"/>
      <c r="I45" s="1">
        <f t="shared" si="2"/>
        <v>0</v>
      </c>
      <c r="J45" s="2"/>
      <c r="K45" s="2"/>
      <c r="L45" s="26"/>
    </row>
    <row r="46" spans="1:12" ht="27" hidden="1" customHeight="1" outlineLevel="1">
      <c r="A46" s="1"/>
      <c r="B46" s="1" t="str">
        <f t="shared" si="0"/>
        <v>250000</v>
      </c>
      <c r="C46" s="1"/>
      <c r="D46" s="8">
        <f t="shared" si="1"/>
        <v>0</v>
      </c>
      <c r="E46" s="33">
        <v>43164</v>
      </c>
      <c r="F46" s="83" t="s">
        <v>55</v>
      </c>
      <c r="G46" s="25">
        <v>25000</v>
      </c>
      <c r="H46" s="10"/>
      <c r="I46" s="1">
        <f t="shared" si="2"/>
        <v>0</v>
      </c>
      <c r="J46" s="2"/>
      <c r="K46" s="2"/>
    </row>
    <row r="47" spans="1:12" ht="27" hidden="1" customHeight="1" outlineLevel="1">
      <c r="A47" s="1"/>
      <c r="B47" s="1" t="str">
        <f t="shared" si="0"/>
        <v>250000</v>
      </c>
      <c r="C47" s="1"/>
      <c r="D47" s="8">
        <f t="shared" si="1"/>
        <v>0</v>
      </c>
      <c r="E47" s="33">
        <v>43167</v>
      </c>
      <c r="F47" s="82" t="s">
        <v>56</v>
      </c>
      <c r="G47" s="25">
        <v>25000</v>
      </c>
      <c r="H47" s="10"/>
      <c r="I47" s="1">
        <f t="shared" si="2"/>
        <v>0</v>
      </c>
      <c r="J47" s="2"/>
      <c r="K47" s="2"/>
    </row>
    <row r="48" spans="1:12" ht="27" hidden="1" customHeight="1" outlineLevel="1">
      <c r="A48" s="1"/>
      <c r="B48" s="1" t="str">
        <f t="shared" si="0"/>
        <v>250000</v>
      </c>
      <c r="C48" s="1"/>
      <c r="D48" s="8">
        <f t="shared" si="1"/>
        <v>0</v>
      </c>
      <c r="E48" s="33">
        <v>43167</v>
      </c>
      <c r="F48" s="82">
        <v>1118811</v>
      </c>
      <c r="G48" s="25">
        <v>25000</v>
      </c>
      <c r="H48" s="10"/>
      <c r="I48" s="1">
        <f t="shared" si="2"/>
        <v>0</v>
      </c>
      <c r="J48" s="2"/>
      <c r="K48" s="2"/>
    </row>
    <row r="49" spans="1:11" ht="27" hidden="1" customHeight="1" outlineLevel="1">
      <c r="A49" s="1"/>
      <c r="B49" s="1" t="str">
        <f t="shared" si="0"/>
        <v>250000</v>
      </c>
      <c r="C49" s="1"/>
      <c r="D49" s="8">
        <f t="shared" si="1"/>
        <v>0</v>
      </c>
      <c r="E49" s="33">
        <v>43172</v>
      </c>
      <c r="F49" s="82">
        <v>1002873</v>
      </c>
      <c r="G49" s="25">
        <v>25000</v>
      </c>
      <c r="H49" s="10"/>
      <c r="I49" s="1">
        <f t="shared" si="2"/>
        <v>0</v>
      </c>
      <c r="J49" s="2"/>
      <c r="K49" s="2"/>
    </row>
    <row r="50" spans="1:11" ht="27" hidden="1" customHeight="1" outlineLevel="1">
      <c r="A50" s="1"/>
      <c r="B50" s="1" t="str">
        <f t="shared" si="0"/>
        <v>250000</v>
      </c>
      <c r="C50" s="1"/>
      <c r="D50" s="8">
        <f t="shared" si="1"/>
        <v>0</v>
      </c>
      <c r="E50" s="33">
        <v>43172</v>
      </c>
      <c r="F50" s="82">
        <v>1003084</v>
      </c>
      <c r="G50" s="25">
        <v>25000</v>
      </c>
      <c r="H50" s="10"/>
      <c r="I50" s="1">
        <f t="shared" si="2"/>
        <v>0</v>
      </c>
      <c r="J50" s="2"/>
      <c r="K50" s="2"/>
    </row>
    <row r="51" spans="1:11" ht="27" hidden="1" customHeight="1" outlineLevel="1">
      <c r="A51" s="1"/>
      <c r="B51" s="1" t="str">
        <f t="shared" si="0"/>
        <v>250000</v>
      </c>
      <c r="C51" s="1"/>
      <c r="D51" s="8">
        <f t="shared" si="1"/>
        <v>0</v>
      </c>
      <c r="E51" s="33">
        <v>43179</v>
      </c>
      <c r="F51" s="82">
        <v>1293144</v>
      </c>
      <c r="G51" s="25">
        <v>25000</v>
      </c>
      <c r="H51" s="10"/>
      <c r="I51" s="1">
        <f t="shared" si="2"/>
        <v>0</v>
      </c>
      <c r="J51" s="2"/>
      <c r="K51" s="2"/>
    </row>
    <row r="52" spans="1:11" ht="27" hidden="1" customHeight="1" outlineLevel="1">
      <c r="A52" s="1"/>
      <c r="B52" s="1" t="str">
        <f t="shared" si="0"/>
        <v>250000</v>
      </c>
      <c r="C52" s="1"/>
      <c r="D52" s="8">
        <f t="shared" si="1"/>
        <v>0</v>
      </c>
      <c r="E52" s="33">
        <v>43179</v>
      </c>
      <c r="F52" s="82">
        <v>1293276</v>
      </c>
      <c r="G52" s="25">
        <v>25000</v>
      </c>
      <c r="H52" s="10"/>
      <c r="I52" s="1">
        <f t="shared" si="2"/>
        <v>0</v>
      </c>
      <c r="J52" s="2"/>
      <c r="K52" s="2"/>
    </row>
    <row r="53" spans="1:11" ht="27" hidden="1" customHeight="1" outlineLevel="1">
      <c r="A53" s="1"/>
      <c r="B53" s="1" t="str">
        <f t="shared" si="0"/>
        <v>250000</v>
      </c>
      <c r="C53" s="1"/>
      <c r="D53" s="8">
        <f t="shared" si="1"/>
        <v>0</v>
      </c>
      <c r="E53" s="33">
        <v>43180</v>
      </c>
      <c r="F53" s="82">
        <v>1298866</v>
      </c>
      <c r="G53" s="25">
        <v>25000</v>
      </c>
      <c r="H53" s="10"/>
      <c r="I53" s="1">
        <f t="shared" si="2"/>
        <v>0</v>
      </c>
      <c r="J53" s="2"/>
      <c r="K53" s="2"/>
    </row>
    <row r="54" spans="1:11" ht="27" hidden="1" customHeight="1" outlineLevel="1">
      <c r="A54" s="1"/>
      <c r="B54" s="1" t="str">
        <f t="shared" si="0"/>
        <v>250000</v>
      </c>
      <c r="C54" s="1"/>
      <c r="D54" s="8">
        <f t="shared" si="1"/>
        <v>0</v>
      </c>
      <c r="E54" s="33">
        <v>43192</v>
      </c>
      <c r="F54" s="82">
        <v>1595874</v>
      </c>
      <c r="G54" s="25">
        <v>25000</v>
      </c>
      <c r="H54" s="10"/>
      <c r="I54" s="1">
        <f t="shared" si="2"/>
        <v>0</v>
      </c>
      <c r="J54" s="2"/>
      <c r="K54" s="2"/>
    </row>
    <row r="55" spans="1:11" ht="27" hidden="1" customHeight="1" outlineLevel="1">
      <c r="A55" s="1"/>
      <c r="B55" s="1" t="str">
        <f t="shared" si="0"/>
        <v>250000</v>
      </c>
      <c r="C55" s="1"/>
      <c r="D55" s="8">
        <f t="shared" si="1"/>
        <v>0</v>
      </c>
      <c r="E55" s="33">
        <v>43196</v>
      </c>
      <c r="F55" s="83" t="s">
        <v>57</v>
      </c>
      <c r="G55" s="25">
        <v>25000</v>
      </c>
      <c r="H55" s="10"/>
      <c r="I55" s="1">
        <f t="shared" si="2"/>
        <v>0</v>
      </c>
      <c r="J55" s="2"/>
      <c r="K55" s="2"/>
    </row>
    <row r="56" spans="1:11" ht="27" hidden="1" customHeight="1" outlineLevel="1">
      <c r="A56" s="1"/>
      <c r="B56" s="1" t="str">
        <f t="shared" si="0"/>
        <v>250000</v>
      </c>
      <c r="C56" s="1"/>
      <c r="D56" s="8">
        <f t="shared" si="1"/>
        <v>0</v>
      </c>
      <c r="E56" s="33">
        <v>43196</v>
      </c>
      <c r="F56" s="82">
        <v>1032856</v>
      </c>
      <c r="G56" s="25">
        <v>25000</v>
      </c>
      <c r="H56" s="10"/>
      <c r="I56" s="1">
        <f t="shared" si="2"/>
        <v>0</v>
      </c>
      <c r="J56" s="2"/>
      <c r="K56" s="2"/>
    </row>
    <row r="57" spans="1:11" ht="27" hidden="1" customHeight="1" outlineLevel="1">
      <c r="A57" s="1"/>
      <c r="B57" s="1" t="str">
        <f t="shared" si="0"/>
        <v>250000</v>
      </c>
      <c r="C57" s="1"/>
      <c r="D57" s="8">
        <f t="shared" si="1"/>
        <v>0</v>
      </c>
      <c r="E57" s="33">
        <v>43199</v>
      </c>
      <c r="F57" s="82">
        <v>1564553</v>
      </c>
      <c r="G57" s="25">
        <v>25000</v>
      </c>
      <c r="H57" s="10"/>
      <c r="I57" s="1">
        <f t="shared" si="2"/>
        <v>0</v>
      </c>
      <c r="J57" s="2"/>
      <c r="K57" s="2"/>
    </row>
    <row r="58" spans="1:11" ht="27" hidden="1" customHeight="1" outlineLevel="1">
      <c r="A58" s="1"/>
      <c r="B58" s="1" t="str">
        <f t="shared" si="0"/>
        <v>250000</v>
      </c>
      <c r="C58" s="1"/>
      <c r="D58" s="8">
        <f t="shared" si="1"/>
        <v>0</v>
      </c>
      <c r="E58" s="33">
        <v>43199</v>
      </c>
      <c r="F58" s="82">
        <v>1565998</v>
      </c>
      <c r="G58" s="25">
        <v>25000</v>
      </c>
      <c r="H58" s="10"/>
      <c r="I58" s="1">
        <f t="shared" si="2"/>
        <v>0</v>
      </c>
      <c r="J58" s="2"/>
      <c r="K58" s="2"/>
    </row>
    <row r="59" spans="1:11" ht="27" hidden="1" customHeight="1" outlineLevel="1">
      <c r="A59" s="1"/>
      <c r="B59" s="1" t="str">
        <f t="shared" si="0"/>
        <v>1000000</v>
      </c>
      <c r="C59" s="1"/>
      <c r="D59" s="8">
        <f t="shared" si="1"/>
        <v>0</v>
      </c>
      <c r="E59" s="33">
        <v>43209</v>
      </c>
      <c r="F59" s="82">
        <v>2794811</v>
      </c>
      <c r="G59" s="25">
        <v>100000</v>
      </c>
      <c r="H59" s="10"/>
      <c r="I59" s="1">
        <f t="shared" si="2"/>
        <v>0</v>
      </c>
      <c r="J59" s="2"/>
      <c r="K59" s="2"/>
    </row>
    <row r="60" spans="1:11" ht="27" hidden="1" customHeight="1" outlineLevel="1">
      <c r="A60" s="1"/>
      <c r="B60" s="1" t="str">
        <f t="shared" si="0"/>
        <v>1000000</v>
      </c>
      <c r="C60" s="1"/>
      <c r="D60" s="8">
        <f t="shared" si="1"/>
        <v>0</v>
      </c>
      <c r="E60" s="33">
        <v>43209</v>
      </c>
      <c r="F60" s="82">
        <v>1193616</v>
      </c>
      <c r="G60" s="25">
        <v>100000</v>
      </c>
      <c r="H60" s="10"/>
      <c r="I60" s="1">
        <f t="shared" si="2"/>
        <v>0</v>
      </c>
      <c r="J60" s="2"/>
      <c r="K60" s="2"/>
    </row>
    <row r="61" spans="1:11" ht="27" hidden="1" customHeight="1" outlineLevel="1">
      <c r="A61" s="1"/>
      <c r="B61" s="1" t="str">
        <f t="shared" si="0"/>
        <v>150000</v>
      </c>
      <c r="C61" s="1"/>
      <c r="D61" s="8">
        <f t="shared" si="1"/>
        <v>0</v>
      </c>
      <c r="E61" s="33">
        <v>43209</v>
      </c>
      <c r="F61" s="83" t="s">
        <v>58</v>
      </c>
      <c r="G61" s="25">
        <v>15000</v>
      </c>
      <c r="H61" s="10"/>
      <c r="I61" s="1">
        <f t="shared" si="2"/>
        <v>0</v>
      </c>
      <c r="J61" s="2"/>
      <c r="K61" s="2"/>
    </row>
    <row r="62" spans="1:11" ht="27" hidden="1" customHeight="1" outlineLevel="1">
      <c r="A62" s="1"/>
      <c r="B62" s="1" t="str">
        <f t="shared" si="0"/>
        <v>150000</v>
      </c>
      <c r="C62" s="1"/>
      <c r="D62" s="8">
        <f t="shared" si="1"/>
        <v>0</v>
      </c>
      <c r="E62" s="33">
        <v>43209</v>
      </c>
      <c r="F62" s="83" t="s">
        <v>59</v>
      </c>
      <c r="G62" s="25">
        <v>15000</v>
      </c>
      <c r="H62" s="10"/>
      <c r="I62" s="1">
        <f t="shared" si="2"/>
        <v>0</v>
      </c>
      <c r="J62" s="2"/>
      <c r="K62" s="2"/>
    </row>
    <row r="63" spans="1:11" ht="27" hidden="1" customHeight="1" outlineLevel="1">
      <c r="A63" s="1"/>
      <c r="B63" s="1" t="str">
        <f t="shared" si="0"/>
        <v>1000000</v>
      </c>
      <c r="C63" s="1"/>
      <c r="D63" s="8">
        <f t="shared" si="1"/>
        <v>0</v>
      </c>
      <c r="E63" s="33">
        <v>43222</v>
      </c>
      <c r="F63" s="82">
        <v>1260742</v>
      </c>
      <c r="G63" s="25">
        <v>100000</v>
      </c>
      <c r="H63" s="10"/>
      <c r="I63" s="1">
        <f t="shared" si="2"/>
        <v>0</v>
      </c>
      <c r="J63" s="2"/>
      <c r="K63" s="2"/>
    </row>
    <row r="64" spans="1:11" ht="27" hidden="1" customHeight="1" outlineLevel="1">
      <c r="A64" s="1"/>
      <c r="B64" s="1" t="str">
        <f t="shared" si="0"/>
        <v>1000000</v>
      </c>
      <c r="C64" s="1"/>
      <c r="D64" s="8">
        <f t="shared" si="1"/>
        <v>0</v>
      </c>
      <c r="E64" s="33">
        <v>43222</v>
      </c>
      <c r="F64" s="82">
        <v>3703204</v>
      </c>
      <c r="G64" s="25">
        <v>100000</v>
      </c>
      <c r="H64" s="10"/>
      <c r="I64" s="1">
        <f t="shared" si="2"/>
        <v>0</v>
      </c>
      <c r="J64" s="2"/>
      <c r="K64" s="2"/>
    </row>
    <row r="65" spans="1:11" ht="27" hidden="1" customHeight="1" outlineLevel="1">
      <c r="A65" s="1"/>
      <c r="B65" s="1" t="str">
        <f t="shared" si="0"/>
        <v>150000</v>
      </c>
      <c r="C65" s="1"/>
      <c r="D65" s="8">
        <f t="shared" si="1"/>
        <v>0</v>
      </c>
      <c r="E65" s="33">
        <v>43222</v>
      </c>
      <c r="F65" s="83" t="s">
        <v>66</v>
      </c>
      <c r="G65" s="25">
        <v>15000</v>
      </c>
      <c r="H65" s="10"/>
      <c r="I65" s="1">
        <f t="shared" si="2"/>
        <v>0</v>
      </c>
      <c r="J65" s="2"/>
      <c r="K65" s="2"/>
    </row>
    <row r="66" spans="1:11" ht="27" hidden="1" customHeight="1" outlineLevel="1">
      <c r="A66" s="1"/>
      <c r="B66" s="1" t="str">
        <f t="shared" si="0"/>
        <v>150000</v>
      </c>
      <c r="C66" s="1"/>
      <c r="D66" s="8">
        <f t="shared" si="1"/>
        <v>0</v>
      </c>
      <c r="E66" s="33">
        <v>43222</v>
      </c>
      <c r="F66" s="83" t="s">
        <v>67</v>
      </c>
      <c r="G66" s="25">
        <v>15000</v>
      </c>
      <c r="H66" s="10"/>
      <c r="I66" s="1">
        <f t="shared" si="2"/>
        <v>0</v>
      </c>
      <c r="J66" s="2"/>
      <c r="K66" s="2"/>
    </row>
    <row r="67" spans="1:11" ht="27" hidden="1" customHeight="1" outlineLevel="1">
      <c r="A67" s="1"/>
      <c r="B67" s="1" t="str">
        <f t="shared" si="0"/>
        <v>250000</v>
      </c>
      <c r="C67" s="1"/>
      <c r="D67" s="8">
        <f t="shared" si="1"/>
        <v>0</v>
      </c>
      <c r="E67" s="33">
        <v>43223</v>
      </c>
      <c r="F67" s="82">
        <v>1557239</v>
      </c>
      <c r="G67" s="25">
        <v>25000</v>
      </c>
      <c r="H67" s="10"/>
      <c r="I67" s="1">
        <f t="shared" si="2"/>
        <v>0</v>
      </c>
      <c r="J67" s="2"/>
      <c r="K67" s="2"/>
    </row>
    <row r="68" spans="1:11" ht="27" hidden="1" customHeight="1" outlineLevel="1">
      <c r="A68" s="1"/>
      <c r="B68" s="1" t="str">
        <f t="shared" si="0"/>
        <v>250000</v>
      </c>
      <c r="C68" s="1"/>
      <c r="D68" s="8">
        <f t="shared" si="1"/>
        <v>0</v>
      </c>
      <c r="E68" s="33">
        <v>43223</v>
      </c>
      <c r="F68" s="82">
        <v>1500279</v>
      </c>
      <c r="G68" s="25">
        <v>25000</v>
      </c>
      <c r="H68" s="10"/>
      <c r="I68" s="1">
        <f t="shared" si="2"/>
        <v>0</v>
      </c>
      <c r="J68" s="2"/>
      <c r="K68" s="2"/>
    </row>
    <row r="69" spans="1:11" ht="27" hidden="1" customHeight="1" outlineLevel="1">
      <c r="A69" s="1"/>
      <c r="B69" s="1" t="str">
        <f t="shared" si="0"/>
        <v>250000</v>
      </c>
      <c r="C69" s="1"/>
      <c r="D69" s="8">
        <f t="shared" si="1"/>
        <v>0</v>
      </c>
      <c r="E69" s="33">
        <v>43223</v>
      </c>
      <c r="F69" s="82">
        <v>1281715</v>
      </c>
      <c r="G69" s="25">
        <v>25000</v>
      </c>
      <c r="H69" s="10"/>
      <c r="I69" s="1">
        <f t="shared" si="2"/>
        <v>0</v>
      </c>
      <c r="J69" s="2"/>
      <c r="K69" s="2"/>
    </row>
    <row r="70" spans="1:11" ht="27" hidden="1" customHeight="1" outlineLevel="1">
      <c r="A70" s="1"/>
      <c r="B70" s="1" t="str">
        <f t="shared" si="0"/>
        <v>250000</v>
      </c>
      <c r="C70" s="1"/>
      <c r="D70" s="8">
        <f t="shared" si="1"/>
        <v>0</v>
      </c>
      <c r="E70" s="33">
        <v>43223</v>
      </c>
      <c r="F70" s="82">
        <v>1282613</v>
      </c>
      <c r="G70" s="25">
        <v>25000</v>
      </c>
      <c r="H70" s="10"/>
      <c r="I70" s="1">
        <f t="shared" si="2"/>
        <v>0</v>
      </c>
      <c r="J70" s="2"/>
      <c r="K70" s="2"/>
    </row>
    <row r="71" spans="1:11" ht="27" hidden="1" customHeight="1" outlineLevel="1">
      <c r="A71" s="1"/>
      <c r="B71" s="1" t="str">
        <f t="shared" si="0"/>
        <v>250000</v>
      </c>
      <c r="C71" s="1"/>
      <c r="D71" s="8">
        <f t="shared" si="1"/>
        <v>0</v>
      </c>
      <c r="E71" s="33">
        <v>43224</v>
      </c>
      <c r="F71" s="82">
        <v>1532067</v>
      </c>
      <c r="G71" s="25">
        <v>25000</v>
      </c>
      <c r="H71" s="10"/>
      <c r="I71" s="1">
        <f t="shared" si="2"/>
        <v>0</v>
      </c>
      <c r="J71" s="2"/>
      <c r="K71" s="2"/>
    </row>
    <row r="72" spans="1:11" ht="27" hidden="1" customHeight="1" outlineLevel="1">
      <c r="A72" s="1"/>
      <c r="B72" s="1" t="str">
        <f t="shared" si="0"/>
        <v>250000</v>
      </c>
      <c r="C72" s="1"/>
      <c r="D72" s="8">
        <f t="shared" si="1"/>
        <v>0</v>
      </c>
      <c r="E72" s="33">
        <v>43224</v>
      </c>
      <c r="F72" s="82">
        <v>1508984</v>
      </c>
      <c r="G72" s="25">
        <v>25000</v>
      </c>
      <c r="H72" s="10"/>
      <c r="I72" s="1">
        <f t="shared" si="2"/>
        <v>0</v>
      </c>
      <c r="J72" s="2"/>
      <c r="K72" s="2"/>
    </row>
    <row r="73" spans="1:11" ht="27" hidden="1" customHeight="1" outlineLevel="1">
      <c r="A73" s="1"/>
      <c r="B73" s="1" t="str">
        <f t="shared" si="0"/>
        <v>250000</v>
      </c>
      <c r="C73" s="1"/>
      <c r="D73" s="8">
        <f t="shared" si="1"/>
        <v>0</v>
      </c>
      <c r="E73" s="33">
        <v>43227</v>
      </c>
      <c r="F73" s="82">
        <v>1398856</v>
      </c>
      <c r="G73" s="25">
        <v>25000</v>
      </c>
      <c r="H73" s="10"/>
      <c r="I73" s="1">
        <f t="shared" ref="I73:I136" si="3">IF(AND(E73&gt;=$J$6,E73&lt;=$K$6,A73=$I$6),1,0)</f>
        <v>0</v>
      </c>
      <c r="J73" s="2"/>
      <c r="K73" s="2"/>
    </row>
    <row r="74" spans="1:11" ht="27" hidden="1" customHeight="1" outlineLevel="1">
      <c r="A74" s="1"/>
      <c r="B74" s="1" t="str">
        <f t="shared" si="0"/>
        <v>250000</v>
      </c>
      <c r="C74" s="1"/>
      <c r="D74" s="8">
        <f t="shared" si="1"/>
        <v>0</v>
      </c>
      <c r="E74" s="33">
        <v>43227</v>
      </c>
      <c r="F74" s="82">
        <v>1505662</v>
      </c>
      <c r="G74" s="25">
        <v>25000</v>
      </c>
      <c r="H74" s="10"/>
      <c r="I74" s="1">
        <f t="shared" si="3"/>
        <v>0</v>
      </c>
      <c r="J74" s="2"/>
      <c r="K74" s="2"/>
    </row>
    <row r="75" spans="1:11" ht="27" hidden="1" customHeight="1" outlineLevel="1">
      <c r="A75" s="1"/>
      <c r="B75" s="1" t="str">
        <f t="shared" si="0"/>
        <v>250000</v>
      </c>
      <c r="C75" s="1"/>
      <c r="D75" s="8">
        <f t="shared" si="1"/>
        <v>0</v>
      </c>
      <c r="E75" s="33">
        <v>43228</v>
      </c>
      <c r="F75" s="82">
        <v>1215738</v>
      </c>
      <c r="G75" s="25">
        <v>25000</v>
      </c>
      <c r="H75" s="10"/>
      <c r="I75" s="1">
        <f t="shared" si="3"/>
        <v>0</v>
      </c>
      <c r="J75" s="2"/>
      <c r="K75" s="2"/>
    </row>
    <row r="76" spans="1:11" ht="27" hidden="1" customHeight="1" outlineLevel="1">
      <c r="A76" s="1"/>
      <c r="B76" s="1" t="str">
        <f t="shared" si="0"/>
        <v>250000</v>
      </c>
      <c r="C76" s="1"/>
      <c r="D76" s="8">
        <f t="shared" si="1"/>
        <v>0</v>
      </c>
      <c r="E76" s="33">
        <v>43228</v>
      </c>
      <c r="F76" s="82">
        <v>1091774</v>
      </c>
      <c r="G76" s="25">
        <v>25000</v>
      </c>
      <c r="H76" s="10"/>
      <c r="I76" s="1">
        <f t="shared" si="3"/>
        <v>0</v>
      </c>
      <c r="J76" s="2"/>
      <c r="K76" s="2"/>
    </row>
    <row r="77" spans="1:11" ht="27" hidden="1" customHeight="1" outlineLevel="1">
      <c r="A77" s="1"/>
      <c r="B77" s="1" t="str">
        <f t="shared" si="0"/>
        <v>1000000</v>
      </c>
      <c r="C77" s="1"/>
      <c r="D77" s="8">
        <f t="shared" si="1"/>
        <v>0</v>
      </c>
      <c r="E77" s="33">
        <v>43231</v>
      </c>
      <c r="F77" s="82">
        <v>1279492</v>
      </c>
      <c r="G77" s="25">
        <v>100000</v>
      </c>
      <c r="H77" s="10"/>
      <c r="I77" s="1">
        <f t="shared" si="3"/>
        <v>0</v>
      </c>
      <c r="J77" s="2"/>
      <c r="K77" s="2"/>
    </row>
    <row r="78" spans="1:11" ht="27" hidden="1" customHeight="1" outlineLevel="1">
      <c r="A78" s="1"/>
      <c r="B78" s="1" t="str">
        <f t="shared" si="0"/>
        <v>1000000</v>
      </c>
      <c r="C78" s="1"/>
      <c r="D78" s="8">
        <f t="shared" si="1"/>
        <v>0</v>
      </c>
      <c r="E78" s="33">
        <v>43231</v>
      </c>
      <c r="F78" s="82">
        <v>3679960</v>
      </c>
      <c r="G78" s="25">
        <v>100000</v>
      </c>
      <c r="H78" s="10"/>
      <c r="I78" s="1">
        <f t="shared" si="3"/>
        <v>0</v>
      </c>
      <c r="J78" s="2"/>
      <c r="K78" s="2"/>
    </row>
    <row r="79" spans="1:11" ht="27" hidden="1" customHeight="1" outlineLevel="1">
      <c r="A79" s="1"/>
      <c r="B79" s="1" t="str">
        <f t="shared" si="0"/>
        <v>250000</v>
      </c>
      <c r="C79" s="1"/>
      <c r="D79" s="8">
        <f t="shared" si="1"/>
        <v>0</v>
      </c>
      <c r="E79" s="33">
        <v>43237</v>
      </c>
      <c r="F79" s="82">
        <v>1558882</v>
      </c>
      <c r="G79" s="25">
        <v>25000</v>
      </c>
      <c r="H79" s="10"/>
      <c r="I79" s="1">
        <f t="shared" si="3"/>
        <v>0</v>
      </c>
      <c r="J79" s="2"/>
      <c r="K79" s="2"/>
    </row>
    <row r="80" spans="1:11" ht="27" hidden="1" customHeight="1" outlineLevel="1">
      <c r="A80" s="1"/>
      <c r="B80" s="1" t="str">
        <f t="shared" si="0"/>
        <v>250000</v>
      </c>
      <c r="C80" s="1"/>
      <c r="D80" s="8">
        <f t="shared" si="1"/>
        <v>0</v>
      </c>
      <c r="E80" s="33">
        <v>43237</v>
      </c>
      <c r="F80" s="82">
        <v>1157894</v>
      </c>
      <c r="G80" s="25">
        <v>25000</v>
      </c>
      <c r="H80" s="10"/>
      <c r="I80" s="1">
        <f t="shared" si="3"/>
        <v>0</v>
      </c>
      <c r="J80" s="2"/>
      <c r="K80" s="2"/>
    </row>
    <row r="81" spans="1:11" ht="27" hidden="1" customHeight="1" outlineLevel="1">
      <c r="A81" s="1"/>
      <c r="B81" s="1" t="str">
        <f t="shared" si="0"/>
        <v>250000</v>
      </c>
      <c r="C81" s="1"/>
      <c r="D81" s="8">
        <f t="shared" si="1"/>
        <v>0</v>
      </c>
      <c r="E81" s="33">
        <v>43248</v>
      </c>
      <c r="F81" s="82">
        <v>1076095</v>
      </c>
      <c r="G81" s="25">
        <v>25000</v>
      </c>
      <c r="H81" s="10"/>
      <c r="I81" s="1">
        <f t="shared" si="3"/>
        <v>0</v>
      </c>
      <c r="J81" s="2"/>
      <c r="K81" s="2"/>
    </row>
    <row r="82" spans="1:11" ht="27" hidden="1" customHeight="1" outlineLevel="1">
      <c r="A82" s="1"/>
      <c r="B82" s="1" t="str">
        <f t="shared" si="0"/>
        <v>250000</v>
      </c>
      <c r="C82" s="1"/>
      <c r="D82" s="8">
        <f t="shared" si="1"/>
        <v>0</v>
      </c>
      <c r="E82" s="33">
        <v>43248</v>
      </c>
      <c r="F82" s="82">
        <v>1076103</v>
      </c>
      <c r="G82" s="25">
        <v>25000</v>
      </c>
      <c r="H82" s="10"/>
      <c r="I82" s="1">
        <f t="shared" si="3"/>
        <v>0</v>
      </c>
      <c r="J82" s="2"/>
      <c r="K82" s="2"/>
    </row>
    <row r="83" spans="1:11" ht="27" hidden="1" customHeight="1" outlineLevel="1">
      <c r="A83" s="1"/>
      <c r="B83" s="1" t="str">
        <f t="shared" si="0"/>
        <v>250000</v>
      </c>
      <c r="C83" s="1"/>
      <c r="D83" s="8">
        <f t="shared" si="1"/>
        <v>0</v>
      </c>
      <c r="E83" s="33">
        <v>43249</v>
      </c>
      <c r="F83" s="82">
        <v>1138207</v>
      </c>
      <c r="G83" s="25">
        <v>25000</v>
      </c>
      <c r="H83" s="10"/>
      <c r="I83" s="1">
        <f t="shared" si="3"/>
        <v>0</v>
      </c>
      <c r="J83" s="2"/>
      <c r="K83" s="2"/>
    </row>
    <row r="84" spans="1:11" ht="27" hidden="1" customHeight="1" outlineLevel="1">
      <c r="A84" s="1"/>
      <c r="B84" s="1" t="str">
        <f t="shared" si="0"/>
        <v>250000</v>
      </c>
      <c r="C84" s="1"/>
      <c r="D84" s="8">
        <f t="shared" si="1"/>
        <v>0</v>
      </c>
      <c r="E84" s="33">
        <v>43249</v>
      </c>
      <c r="F84" s="82">
        <v>1136975</v>
      </c>
      <c r="G84" s="25">
        <v>25000</v>
      </c>
      <c r="H84" s="10"/>
      <c r="I84" s="1">
        <f t="shared" si="3"/>
        <v>0</v>
      </c>
      <c r="J84" s="2"/>
      <c r="K84" s="2"/>
    </row>
    <row r="85" spans="1:11" ht="27" hidden="1" customHeight="1" outlineLevel="1">
      <c r="A85" s="1"/>
      <c r="B85" s="1" t="str">
        <f t="shared" si="0"/>
        <v>250000</v>
      </c>
      <c r="C85" s="1"/>
      <c r="D85" s="8">
        <f t="shared" si="1"/>
        <v>0</v>
      </c>
      <c r="E85" s="33">
        <v>43250</v>
      </c>
      <c r="F85" s="82">
        <v>1137472</v>
      </c>
      <c r="G85" s="25">
        <v>25000</v>
      </c>
      <c r="H85" s="10"/>
      <c r="I85" s="1">
        <f t="shared" si="3"/>
        <v>0</v>
      </c>
      <c r="J85" s="2"/>
      <c r="K85" s="2"/>
    </row>
    <row r="86" spans="1:11" ht="27" hidden="1" customHeight="1" outlineLevel="1">
      <c r="A86" s="1"/>
      <c r="B86" s="1" t="str">
        <f t="shared" si="0"/>
        <v>250000</v>
      </c>
      <c r="C86" s="1"/>
      <c r="D86" s="8">
        <f t="shared" si="1"/>
        <v>0</v>
      </c>
      <c r="E86" s="33">
        <v>43250</v>
      </c>
      <c r="F86" s="82">
        <v>1134199</v>
      </c>
      <c r="G86" s="25">
        <v>25000</v>
      </c>
      <c r="H86" s="10"/>
      <c r="I86" s="1">
        <f t="shared" si="3"/>
        <v>0</v>
      </c>
      <c r="J86" s="2"/>
      <c r="K86" s="2"/>
    </row>
    <row r="87" spans="1:11" ht="27" hidden="1" customHeight="1" outlineLevel="1">
      <c r="A87" s="1"/>
      <c r="B87" s="1" t="str">
        <f t="shared" si="0"/>
        <v>250000</v>
      </c>
      <c r="C87" s="1"/>
      <c r="D87" s="8">
        <f t="shared" si="1"/>
        <v>0</v>
      </c>
      <c r="E87" s="33">
        <v>43251</v>
      </c>
      <c r="F87" s="82">
        <v>1478924</v>
      </c>
      <c r="G87" s="25">
        <v>25000</v>
      </c>
      <c r="H87" s="10"/>
      <c r="I87" s="1">
        <f t="shared" si="3"/>
        <v>0</v>
      </c>
      <c r="J87" s="2"/>
      <c r="K87" s="2"/>
    </row>
    <row r="88" spans="1:11" ht="27" hidden="1" customHeight="1" outlineLevel="1">
      <c r="A88" s="1"/>
      <c r="B88" s="1" t="str">
        <f t="shared" si="0"/>
        <v>250000</v>
      </c>
      <c r="C88" s="1"/>
      <c r="D88" s="8">
        <f t="shared" si="1"/>
        <v>0</v>
      </c>
      <c r="E88" s="33">
        <v>43251</v>
      </c>
      <c r="F88" s="82">
        <v>1130987</v>
      </c>
      <c r="G88" s="25">
        <v>25000</v>
      </c>
      <c r="H88" s="10"/>
      <c r="I88" s="1">
        <f t="shared" si="3"/>
        <v>0</v>
      </c>
      <c r="J88" s="2"/>
      <c r="K88" s="2"/>
    </row>
    <row r="89" spans="1:11" ht="27" hidden="1" customHeight="1" outlineLevel="1">
      <c r="A89" s="1"/>
      <c r="B89" s="1" t="str">
        <f t="shared" si="0"/>
        <v>250000</v>
      </c>
      <c r="C89" s="1"/>
      <c r="D89" s="8">
        <f t="shared" si="1"/>
        <v>0</v>
      </c>
      <c r="E89" s="33">
        <v>43256</v>
      </c>
      <c r="F89" s="82">
        <v>1665898</v>
      </c>
      <c r="G89" s="25">
        <v>25000</v>
      </c>
      <c r="H89" s="10"/>
      <c r="I89" s="1">
        <f t="shared" si="3"/>
        <v>0</v>
      </c>
      <c r="J89" s="2"/>
      <c r="K89" s="2"/>
    </row>
    <row r="90" spans="1:11" ht="27" hidden="1" customHeight="1" outlineLevel="1">
      <c r="A90" s="1"/>
      <c r="B90" s="1" t="str">
        <f t="shared" si="0"/>
        <v>250000</v>
      </c>
      <c r="C90" s="1"/>
      <c r="D90" s="8">
        <f t="shared" si="1"/>
        <v>0</v>
      </c>
      <c r="E90" s="33">
        <v>43256</v>
      </c>
      <c r="F90" s="82">
        <v>1513437</v>
      </c>
      <c r="G90" s="25">
        <v>25000</v>
      </c>
      <c r="H90" s="10"/>
      <c r="I90" s="1">
        <f t="shared" si="3"/>
        <v>0</v>
      </c>
      <c r="J90" s="2"/>
      <c r="K90" s="2"/>
    </row>
    <row r="91" spans="1:11" ht="27" hidden="1" customHeight="1" outlineLevel="1">
      <c r="A91" s="1"/>
      <c r="B91" s="1" t="str">
        <f t="shared" si="0"/>
        <v>250000</v>
      </c>
      <c r="C91" s="1"/>
      <c r="D91" s="8">
        <f t="shared" si="1"/>
        <v>0</v>
      </c>
      <c r="E91" s="33">
        <v>43257</v>
      </c>
      <c r="F91" s="82">
        <v>1101173</v>
      </c>
      <c r="G91" s="25">
        <v>25000</v>
      </c>
      <c r="H91" s="10"/>
      <c r="I91" s="1">
        <f t="shared" si="3"/>
        <v>0</v>
      </c>
      <c r="J91" s="2"/>
      <c r="K91" s="2"/>
    </row>
    <row r="92" spans="1:11" ht="27" hidden="1" customHeight="1" outlineLevel="1">
      <c r="A92" s="1"/>
      <c r="B92" s="1" t="str">
        <f t="shared" si="0"/>
        <v>250000</v>
      </c>
      <c r="C92" s="1"/>
      <c r="D92" s="8">
        <f t="shared" si="1"/>
        <v>0</v>
      </c>
      <c r="E92" s="33">
        <v>43257</v>
      </c>
      <c r="F92" s="82">
        <v>1100055</v>
      </c>
      <c r="G92" s="25">
        <v>25000</v>
      </c>
      <c r="H92" s="10"/>
      <c r="I92" s="1">
        <f t="shared" si="3"/>
        <v>0</v>
      </c>
      <c r="J92" s="2"/>
      <c r="K92" s="2"/>
    </row>
    <row r="93" spans="1:11" ht="27" hidden="1" customHeight="1" outlineLevel="1">
      <c r="A93" s="1"/>
      <c r="B93" s="1" t="str">
        <f t="shared" si="0"/>
        <v>250000</v>
      </c>
      <c r="C93" s="1"/>
      <c r="D93" s="8">
        <f t="shared" si="1"/>
        <v>0</v>
      </c>
      <c r="E93" s="33">
        <v>43258</v>
      </c>
      <c r="F93" s="82">
        <v>1633358</v>
      </c>
      <c r="G93" s="25">
        <v>25000</v>
      </c>
      <c r="H93" s="10"/>
      <c r="I93" s="1">
        <f t="shared" si="3"/>
        <v>0</v>
      </c>
      <c r="J93" s="2"/>
      <c r="K93" s="2"/>
    </row>
    <row r="94" spans="1:11" ht="27" hidden="1" customHeight="1" outlineLevel="1">
      <c r="A94" s="1"/>
      <c r="B94" s="1" t="str">
        <f t="shared" si="0"/>
        <v>250000</v>
      </c>
      <c r="C94" s="1"/>
      <c r="D94" s="8">
        <f t="shared" si="1"/>
        <v>0</v>
      </c>
      <c r="E94" s="33">
        <v>43258</v>
      </c>
      <c r="F94" s="82">
        <v>1442364</v>
      </c>
      <c r="G94" s="25">
        <v>25000</v>
      </c>
      <c r="H94" s="10"/>
      <c r="I94" s="1">
        <f t="shared" si="3"/>
        <v>0</v>
      </c>
      <c r="J94" s="2"/>
      <c r="K94" s="2"/>
    </row>
    <row r="95" spans="1:11" ht="27" hidden="1" customHeight="1" outlineLevel="1">
      <c r="A95" s="1"/>
      <c r="B95" s="1" t="str">
        <f t="shared" si="0"/>
        <v>250000</v>
      </c>
      <c r="C95" s="1"/>
      <c r="D95" s="8">
        <f t="shared" si="1"/>
        <v>0</v>
      </c>
      <c r="E95" s="33">
        <v>43259</v>
      </c>
      <c r="F95" s="82">
        <v>1109207</v>
      </c>
      <c r="G95" s="25">
        <v>25000</v>
      </c>
      <c r="H95" s="10"/>
      <c r="I95" s="1">
        <f t="shared" si="3"/>
        <v>0</v>
      </c>
      <c r="J95" s="2"/>
      <c r="K95" s="2"/>
    </row>
    <row r="96" spans="1:11" ht="27" hidden="1" customHeight="1" outlineLevel="1">
      <c r="A96" s="1"/>
      <c r="B96" s="1" t="str">
        <f t="shared" si="0"/>
        <v>250000</v>
      </c>
      <c r="C96" s="1"/>
      <c r="D96" s="8">
        <f t="shared" si="1"/>
        <v>0</v>
      </c>
      <c r="E96" s="33">
        <v>43259</v>
      </c>
      <c r="F96" s="82">
        <v>1179280</v>
      </c>
      <c r="G96" s="25">
        <v>25000</v>
      </c>
      <c r="H96" s="10"/>
      <c r="I96" s="1">
        <f t="shared" si="3"/>
        <v>0</v>
      </c>
      <c r="J96" s="2"/>
      <c r="K96" s="2"/>
    </row>
    <row r="97" spans="1:11" ht="27" hidden="1" customHeight="1" outlineLevel="1">
      <c r="A97" s="1"/>
      <c r="B97" s="1" t="str">
        <f t="shared" si="0"/>
        <v>250000</v>
      </c>
      <c r="C97" s="1"/>
      <c r="D97" s="8">
        <f t="shared" si="1"/>
        <v>0</v>
      </c>
      <c r="E97" s="33">
        <v>43261</v>
      </c>
      <c r="F97" s="83" t="s">
        <v>85</v>
      </c>
      <c r="G97" s="25">
        <v>25000</v>
      </c>
      <c r="H97" s="10"/>
      <c r="I97" s="1">
        <f t="shared" si="3"/>
        <v>0</v>
      </c>
      <c r="J97" s="2"/>
      <c r="K97" s="2"/>
    </row>
    <row r="98" spans="1:11" ht="27" hidden="1" customHeight="1" outlineLevel="1">
      <c r="A98" s="1"/>
      <c r="B98" s="1" t="str">
        <f t="shared" si="0"/>
        <v>250000</v>
      </c>
      <c r="C98" s="1"/>
      <c r="D98" s="8">
        <f t="shared" si="1"/>
        <v>0</v>
      </c>
      <c r="E98" s="33">
        <v>43261</v>
      </c>
      <c r="F98" s="82">
        <v>1244491</v>
      </c>
      <c r="G98" s="25">
        <v>25000</v>
      </c>
      <c r="H98" s="10"/>
      <c r="I98" s="1">
        <f t="shared" si="3"/>
        <v>0</v>
      </c>
      <c r="J98" s="2"/>
      <c r="K98" s="2"/>
    </row>
    <row r="99" spans="1:11" ht="27" hidden="1" customHeight="1" outlineLevel="1">
      <c r="A99" s="1"/>
      <c r="B99" s="1" t="str">
        <f t="shared" si="0"/>
        <v>250000</v>
      </c>
      <c r="C99" s="1"/>
      <c r="D99" s="8">
        <f t="shared" si="1"/>
        <v>0</v>
      </c>
      <c r="E99" s="33">
        <v>43264</v>
      </c>
      <c r="F99" s="82" t="s">
        <v>86</v>
      </c>
      <c r="G99" s="25">
        <v>25000</v>
      </c>
      <c r="H99" s="10"/>
      <c r="I99" s="1">
        <f t="shared" si="3"/>
        <v>0</v>
      </c>
      <c r="J99" s="2"/>
      <c r="K99" s="2"/>
    </row>
    <row r="100" spans="1:11" ht="27" hidden="1" customHeight="1" outlineLevel="1">
      <c r="A100" s="1"/>
      <c r="B100" s="1" t="str">
        <f t="shared" si="0"/>
        <v>250000</v>
      </c>
      <c r="C100" s="1"/>
      <c r="D100" s="8">
        <f t="shared" si="1"/>
        <v>0</v>
      </c>
      <c r="E100" s="33">
        <v>43264</v>
      </c>
      <c r="F100" s="82" t="s">
        <v>87</v>
      </c>
      <c r="G100" s="25">
        <v>25000</v>
      </c>
      <c r="H100" s="10"/>
      <c r="I100" s="1">
        <f t="shared" si="3"/>
        <v>0</v>
      </c>
      <c r="J100" s="2"/>
      <c r="K100" s="2"/>
    </row>
    <row r="101" spans="1:11" ht="27" hidden="1" customHeight="1" outlineLevel="1">
      <c r="A101" s="1"/>
      <c r="B101" s="1" t="str">
        <f t="shared" si="0"/>
        <v>250000</v>
      </c>
      <c r="C101" s="1"/>
      <c r="D101" s="8">
        <f t="shared" si="1"/>
        <v>0</v>
      </c>
      <c r="E101" s="33">
        <v>43266</v>
      </c>
      <c r="F101" s="82" t="s">
        <v>88</v>
      </c>
      <c r="G101" s="25">
        <v>25000</v>
      </c>
      <c r="H101" s="10"/>
      <c r="I101" s="1">
        <f t="shared" si="3"/>
        <v>0</v>
      </c>
      <c r="J101" s="2"/>
      <c r="K101" s="2"/>
    </row>
    <row r="102" spans="1:11" ht="27" hidden="1" customHeight="1" outlineLevel="1">
      <c r="A102" s="1"/>
      <c r="B102" s="1" t="str">
        <f t="shared" si="0"/>
        <v>250000</v>
      </c>
      <c r="C102" s="1"/>
      <c r="D102" s="8">
        <f t="shared" si="1"/>
        <v>0</v>
      </c>
      <c r="E102" s="33">
        <v>43266</v>
      </c>
      <c r="F102" s="82" t="s">
        <v>89</v>
      </c>
      <c r="G102" s="25">
        <v>25000</v>
      </c>
      <c r="H102" s="10"/>
      <c r="I102" s="1">
        <f t="shared" si="3"/>
        <v>0</v>
      </c>
      <c r="J102" s="2"/>
      <c r="K102" s="2"/>
    </row>
    <row r="103" spans="1:11" ht="27" hidden="1" customHeight="1" outlineLevel="1">
      <c r="A103" s="1"/>
      <c r="B103" s="1" t="str">
        <f t="shared" si="0"/>
        <v>250000</v>
      </c>
      <c r="C103" s="1"/>
      <c r="D103" s="8">
        <f t="shared" si="1"/>
        <v>0</v>
      </c>
      <c r="E103" s="33">
        <v>43272</v>
      </c>
      <c r="F103" s="82" t="s">
        <v>90</v>
      </c>
      <c r="G103" s="25">
        <v>25000</v>
      </c>
      <c r="H103" s="10"/>
      <c r="I103" s="1">
        <f t="shared" si="3"/>
        <v>0</v>
      </c>
      <c r="J103" s="2"/>
      <c r="K103" s="2"/>
    </row>
    <row r="104" spans="1:11" ht="27" hidden="1" customHeight="1" outlineLevel="1">
      <c r="A104" s="1"/>
      <c r="B104" s="1" t="str">
        <f t="shared" si="0"/>
        <v>250000</v>
      </c>
      <c r="C104" s="1"/>
      <c r="D104" s="8">
        <f t="shared" si="1"/>
        <v>0</v>
      </c>
      <c r="E104" s="33">
        <v>43272</v>
      </c>
      <c r="F104" s="82" t="s">
        <v>91</v>
      </c>
      <c r="G104" s="25">
        <v>25000</v>
      </c>
      <c r="H104" s="10"/>
      <c r="I104" s="1">
        <f t="shared" si="3"/>
        <v>0</v>
      </c>
      <c r="J104" s="2"/>
      <c r="K104" s="2"/>
    </row>
    <row r="105" spans="1:11" ht="27" hidden="1" customHeight="1" outlineLevel="1">
      <c r="A105" s="1"/>
      <c r="B105" s="1" t="str">
        <f t="shared" si="0"/>
        <v>1000000</v>
      </c>
      <c r="C105" s="1"/>
      <c r="D105" s="8">
        <f t="shared" si="1"/>
        <v>0</v>
      </c>
      <c r="E105" s="33">
        <v>43275</v>
      </c>
      <c r="F105" s="82" t="s">
        <v>92</v>
      </c>
      <c r="G105" s="25">
        <v>100000</v>
      </c>
      <c r="H105" s="10"/>
      <c r="I105" s="1">
        <f t="shared" si="3"/>
        <v>0</v>
      </c>
      <c r="J105" s="2"/>
      <c r="K105" s="2"/>
    </row>
    <row r="106" spans="1:11" ht="27" hidden="1" customHeight="1" outlineLevel="1">
      <c r="A106" s="1"/>
      <c r="B106" s="1" t="str">
        <f t="shared" si="0"/>
        <v>1000000</v>
      </c>
      <c r="C106" s="1"/>
      <c r="D106" s="8">
        <f t="shared" si="1"/>
        <v>0</v>
      </c>
      <c r="E106" s="33">
        <v>43275</v>
      </c>
      <c r="F106" s="82" t="s">
        <v>93</v>
      </c>
      <c r="G106" s="25">
        <v>100000</v>
      </c>
      <c r="H106" s="10"/>
      <c r="I106" s="1">
        <f t="shared" si="3"/>
        <v>0</v>
      </c>
      <c r="J106" s="2"/>
      <c r="K106" s="2"/>
    </row>
    <row r="107" spans="1:11" ht="27" hidden="1" customHeight="1" outlineLevel="1">
      <c r="A107" s="1"/>
      <c r="B107" s="1" t="str">
        <f t="shared" si="0"/>
        <v>100000</v>
      </c>
      <c r="C107" s="1"/>
      <c r="D107" s="8">
        <f t="shared" si="1"/>
        <v>0</v>
      </c>
      <c r="E107" s="33">
        <v>43275</v>
      </c>
      <c r="F107" s="82" t="s">
        <v>94</v>
      </c>
      <c r="G107" s="25">
        <v>10000</v>
      </c>
      <c r="H107" s="10"/>
      <c r="I107" s="1">
        <f t="shared" si="3"/>
        <v>0</v>
      </c>
      <c r="J107" s="2"/>
      <c r="K107" s="2"/>
    </row>
    <row r="108" spans="1:11" ht="27" hidden="1" customHeight="1" outlineLevel="1">
      <c r="A108" s="1"/>
      <c r="B108" s="1" t="str">
        <f t="shared" si="0"/>
        <v>250000</v>
      </c>
      <c r="C108" s="1"/>
      <c r="D108" s="8">
        <f t="shared" si="1"/>
        <v>0</v>
      </c>
      <c r="E108" s="33">
        <v>43277</v>
      </c>
      <c r="F108" s="82" t="s">
        <v>95</v>
      </c>
      <c r="G108" s="25">
        <v>25000</v>
      </c>
      <c r="H108" s="10"/>
      <c r="I108" s="1">
        <f t="shared" si="3"/>
        <v>0</v>
      </c>
      <c r="J108" s="2"/>
      <c r="K108" s="2"/>
    </row>
    <row r="109" spans="1:11" ht="27" hidden="1" customHeight="1" outlineLevel="1">
      <c r="A109" s="1"/>
      <c r="B109" s="1" t="str">
        <f t="shared" si="0"/>
        <v>250000</v>
      </c>
      <c r="C109" s="1"/>
      <c r="D109" s="8">
        <f t="shared" si="1"/>
        <v>0</v>
      </c>
      <c r="E109" s="33">
        <v>43277</v>
      </c>
      <c r="F109" s="82" t="s">
        <v>96</v>
      </c>
      <c r="G109" s="25">
        <v>25000</v>
      </c>
      <c r="H109" s="10"/>
      <c r="I109" s="1">
        <f t="shared" si="3"/>
        <v>0</v>
      </c>
      <c r="J109" s="2"/>
      <c r="K109" s="2"/>
    </row>
    <row r="110" spans="1:11" ht="27" hidden="1" customHeight="1" outlineLevel="1">
      <c r="A110" s="1"/>
      <c r="B110" s="1" t="str">
        <f t="shared" si="0"/>
        <v>250000</v>
      </c>
      <c r="C110" s="1"/>
      <c r="D110" s="8">
        <f t="shared" si="1"/>
        <v>0</v>
      </c>
      <c r="E110" s="33">
        <v>43279</v>
      </c>
      <c r="F110" s="82" t="s">
        <v>97</v>
      </c>
      <c r="G110" s="25">
        <v>25000</v>
      </c>
      <c r="H110" s="10"/>
      <c r="I110" s="1">
        <f t="shared" si="3"/>
        <v>0</v>
      </c>
      <c r="J110" s="2"/>
      <c r="K110" s="2"/>
    </row>
    <row r="111" spans="1:11" ht="27" hidden="1" customHeight="1" outlineLevel="1">
      <c r="A111" s="1"/>
      <c r="B111" s="1" t="str">
        <f t="shared" si="0"/>
        <v>250000</v>
      </c>
      <c r="C111" s="1"/>
      <c r="D111" s="8">
        <f t="shared" si="1"/>
        <v>0</v>
      </c>
      <c r="E111" s="33">
        <v>43279</v>
      </c>
      <c r="F111" s="82" t="s">
        <v>98</v>
      </c>
      <c r="G111" s="25">
        <v>25000</v>
      </c>
      <c r="H111" s="10"/>
      <c r="I111" s="1">
        <f t="shared" si="3"/>
        <v>0</v>
      </c>
      <c r="J111" s="2"/>
      <c r="K111" s="2"/>
    </row>
    <row r="112" spans="1:11" ht="27" hidden="1" customHeight="1" outlineLevel="1">
      <c r="A112" s="1"/>
      <c r="B112" s="1" t="str">
        <f t="shared" si="0"/>
        <v>250000</v>
      </c>
      <c r="C112" s="1"/>
      <c r="D112" s="8">
        <f t="shared" si="1"/>
        <v>0</v>
      </c>
      <c r="E112" s="33">
        <v>43283</v>
      </c>
      <c r="F112" s="82" t="s">
        <v>99</v>
      </c>
      <c r="G112" s="25">
        <v>25000</v>
      </c>
      <c r="H112" s="10"/>
      <c r="I112" s="1">
        <f t="shared" si="3"/>
        <v>0</v>
      </c>
      <c r="J112" s="2"/>
      <c r="K112" s="2"/>
    </row>
    <row r="113" spans="1:11" ht="27" hidden="1" customHeight="1" outlineLevel="1">
      <c r="A113" s="1"/>
      <c r="B113" s="1" t="str">
        <f t="shared" si="0"/>
        <v>250000</v>
      </c>
      <c r="C113" s="1"/>
      <c r="D113" s="8">
        <f t="shared" si="1"/>
        <v>0</v>
      </c>
      <c r="E113" s="33">
        <v>43283</v>
      </c>
      <c r="F113" s="82" t="s">
        <v>100</v>
      </c>
      <c r="G113" s="25">
        <v>25000</v>
      </c>
      <c r="H113" s="10"/>
      <c r="I113" s="1">
        <f t="shared" si="3"/>
        <v>0</v>
      </c>
      <c r="J113" s="2"/>
      <c r="K113" s="2"/>
    </row>
    <row r="114" spans="1:11" ht="27" hidden="1" customHeight="1" outlineLevel="1">
      <c r="A114" s="1"/>
      <c r="B114" s="1" t="str">
        <f t="shared" si="0"/>
        <v>250000</v>
      </c>
      <c r="C114" s="1"/>
      <c r="D114" s="8">
        <f t="shared" si="1"/>
        <v>0</v>
      </c>
      <c r="E114" s="33">
        <v>43285</v>
      </c>
      <c r="F114" s="82" t="s">
        <v>101</v>
      </c>
      <c r="G114" s="25">
        <v>25000</v>
      </c>
      <c r="H114" s="10"/>
      <c r="I114" s="1">
        <f t="shared" si="3"/>
        <v>0</v>
      </c>
      <c r="J114" s="2"/>
      <c r="K114" s="2"/>
    </row>
    <row r="115" spans="1:11" ht="27" hidden="1" customHeight="1" outlineLevel="1">
      <c r="A115" s="1"/>
      <c r="B115" s="1" t="str">
        <f t="shared" si="0"/>
        <v>250000</v>
      </c>
      <c r="C115" s="1"/>
      <c r="D115" s="8">
        <f t="shared" si="1"/>
        <v>0</v>
      </c>
      <c r="E115" s="33">
        <v>43285</v>
      </c>
      <c r="F115" s="82" t="s">
        <v>102</v>
      </c>
      <c r="G115" s="25">
        <v>25000</v>
      </c>
      <c r="H115" s="10"/>
      <c r="I115" s="1">
        <f t="shared" si="3"/>
        <v>0</v>
      </c>
      <c r="J115" s="2"/>
      <c r="K115" s="2"/>
    </row>
    <row r="116" spans="1:11" ht="27" hidden="1" customHeight="1" outlineLevel="1">
      <c r="A116" s="1"/>
      <c r="B116" s="1" t="str">
        <f t="shared" si="0"/>
        <v>250000</v>
      </c>
      <c r="C116" s="1"/>
      <c r="D116" s="8">
        <f t="shared" si="1"/>
        <v>0</v>
      </c>
      <c r="E116" s="33">
        <v>43286</v>
      </c>
      <c r="F116" s="82" t="s">
        <v>103</v>
      </c>
      <c r="G116" s="25">
        <v>25000</v>
      </c>
      <c r="H116" s="10"/>
      <c r="I116" s="1">
        <f t="shared" si="3"/>
        <v>0</v>
      </c>
      <c r="J116" s="2"/>
      <c r="K116" s="2"/>
    </row>
    <row r="117" spans="1:11" ht="27" hidden="1" customHeight="1" outlineLevel="1">
      <c r="A117" s="1"/>
      <c r="B117" s="1" t="str">
        <f t="shared" si="0"/>
        <v>250000</v>
      </c>
      <c r="C117" s="1"/>
      <c r="D117" s="8">
        <f t="shared" si="1"/>
        <v>0</v>
      </c>
      <c r="E117" s="33">
        <v>43286</v>
      </c>
      <c r="F117" s="82" t="s">
        <v>104</v>
      </c>
      <c r="G117" s="25">
        <v>25000</v>
      </c>
      <c r="H117" s="10"/>
      <c r="I117" s="1">
        <f t="shared" si="3"/>
        <v>0</v>
      </c>
      <c r="J117" s="2"/>
      <c r="K117" s="2"/>
    </row>
    <row r="118" spans="1:11" ht="27" hidden="1" customHeight="1" outlineLevel="1">
      <c r="A118" s="1"/>
      <c r="B118" s="1" t="str">
        <f t="shared" si="0"/>
        <v>250000</v>
      </c>
      <c r="C118" s="1"/>
      <c r="D118" s="8">
        <f t="shared" si="1"/>
        <v>0</v>
      </c>
      <c r="E118" s="33">
        <v>43288</v>
      </c>
      <c r="F118" s="82" t="s">
        <v>105</v>
      </c>
      <c r="G118" s="25">
        <v>25000</v>
      </c>
      <c r="H118" s="10"/>
      <c r="I118" s="1">
        <f t="shared" si="3"/>
        <v>0</v>
      </c>
      <c r="J118" s="2"/>
      <c r="K118" s="2"/>
    </row>
    <row r="119" spans="1:11" ht="27" hidden="1" customHeight="1" outlineLevel="1">
      <c r="A119" s="1"/>
      <c r="B119" s="1" t="str">
        <f t="shared" si="0"/>
        <v>250000</v>
      </c>
      <c r="C119" s="1"/>
      <c r="D119" s="8">
        <f t="shared" si="1"/>
        <v>0</v>
      </c>
      <c r="E119" s="33">
        <v>43288</v>
      </c>
      <c r="F119" s="82" t="s">
        <v>106</v>
      </c>
      <c r="G119" s="25">
        <v>25000</v>
      </c>
      <c r="H119" s="10"/>
      <c r="I119" s="1">
        <f t="shared" si="3"/>
        <v>0</v>
      </c>
      <c r="J119" s="2"/>
      <c r="K119" s="2"/>
    </row>
    <row r="120" spans="1:11" ht="27" hidden="1" customHeight="1" outlineLevel="1">
      <c r="A120" s="1"/>
      <c r="B120" s="1" t="str">
        <f t="shared" si="0"/>
        <v>250000</v>
      </c>
      <c r="C120" s="1"/>
      <c r="D120" s="8">
        <f t="shared" si="1"/>
        <v>0</v>
      </c>
      <c r="E120" s="33">
        <v>43291</v>
      </c>
      <c r="F120" s="82" t="s">
        <v>107</v>
      </c>
      <c r="G120" s="25">
        <v>25000</v>
      </c>
      <c r="H120" s="10"/>
      <c r="I120" s="1">
        <f t="shared" si="3"/>
        <v>0</v>
      </c>
      <c r="J120" s="2"/>
      <c r="K120" s="2"/>
    </row>
    <row r="121" spans="1:11" ht="27" hidden="1" customHeight="1" outlineLevel="1">
      <c r="A121" s="1"/>
      <c r="B121" s="1" t="str">
        <f t="shared" si="0"/>
        <v>250000</v>
      </c>
      <c r="C121" s="1"/>
      <c r="D121" s="8">
        <f t="shared" si="1"/>
        <v>0</v>
      </c>
      <c r="E121" s="33">
        <v>43291</v>
      </c>
      <c r="F121" s="82" t="s">
        <v>108</v>
      </c>
      <c r="G121" s="25">
        <v>25000</v>
      </c>
      <c r="H121" s="10"/>
      <c r="I121" s="1">
        <f t="shared" si="3"/>
        <v>0</v>
      </c>
      <c r="J121" s="2"/>
      <c r="K121" s="2"/>
    </row>
    <row r="122" spans="1:11" ht="27" hidden="1" customHeight="1" outlineLevel="1">
      <c r="A122" s="1"/>
      <c r="B122" s="1" t="str">
        <f t="shared" si="0"/>
        <v>250000</v>
      </c>
      <c r="C122" s="1"/>
      <c r="D122" s="8">
        <f t="shared" si="1"/>
        <v>0</v>
      </c>
      <c r="E122" s="33">
        <v>43292</v>
      </c>
      <c r="F122" s="82" t="s">
        <v>109</v>
      </c>
      <c r="G122" s="25">
        <v>25000</v>
      </c>
      <c r="H122" s="10"/>
      <c r="I122" s="1">
        <f t="shared" si="3"/>
        <v>0</v>
      </c>
      <c r="J122" s="2"/>
      <c r="K122" s="2"/>
    </row>
    <row r="123" spans="1:11" ht="27" hidden="1" customHeight="1" outlineLevel="1">
      <c r="A123" s="1"/>
      <c r="B123" s="1" t="str">
        <f t="shared" si="0"/>
        <v>250000</v>
      </c>
      <c r="C123" s="1"/>
      <c r="D123" s="8">
        <f t="shared" si="1"/>
        <v>0</v>
      </c>
      <c r="E123" s="33">
        <v>43292</v>
      </c>
      <c r="F123" s="82" t="s">
        <v>110</v>
      </c>
      <c r="G123" s="25">
        <v>25000</v>
      </c>
      <c r="H123" s="10"/>
      <c r="I123" s="1">
        <f t="shared" si="3"/>
        <v>0</v>
      </c>
      <c r="J123" s="2"/>
      <c r="K123" s="2"/>
    </row>
    <row r="124" spans="1:11" ht="27" hidden="1" customHeight="1" outlineLevel="1">
      <c r="A124" s="1"/>
      <c r="B124" s="1" t="str">
        <f t="shared" si="0"/>
        <v>250000</v>
      </c>
      <c r="C124" s="1"/>
      <c r="D124" s="8">
        <f t="shared" si="1"/>
        <v>0</v>
      </c>
      <c r="E124" s="33">
        <v>43294</v>
      </c>
      <c r="F124" s="82" t="s">
        <v>111</v>
      </c>
      <c r="G124" s="25">
        <v>25000</v>
      </c>
      <c r="H124" s="10"/>
      <c r="I124" s="1">
        <f t="shared" si="3"/>
        <v>0</v>
      </c>
      <c r="J124" s="2"/>
      <c r="K124" s="2"/>
    </row>
    <row r="125" spans="1:11" ht="27" hidden="1" customHeight="1" outlineLevel="1">
      <c r="A125" s="1"/>
      <c r="B125" s="1" t="str">
        <f t="shared" si="0"/>
        <v>250000</v>
      </c>
      <c r="C125" s="1"/>
      <c r="D125" s="8">
        <f t="shared" si="1"/>
        <v>0</v>
      </c>
      <c r="E125" s="33">
        <v>43294</v>
      </c>
      <c r="F125" s="82" t="s">
        <v>112</v>
      </c>
      <c r="G125" s="25">
        <v>25000</v>
      </c>
      <c r="H125" s="10"/>
      <c r="I125" s="1">
        <f t="shared" si="3"/>
        <v>0</v>
      </c>
      <c r="J125" s="2"/>
      <c r="K125" s="2"/>
    </row>
    <row r="126" spans="1:11" ht="27" hidden="1" customHeight="1" outlineLevel="1">
      <c r="A126" s="1"/>
      <c r="B126" s="1" t="str">
        <f t="shared" si="0"/>
        <v>250000</v>
      </c>
      <c r="C126" s="1"/>
      <c r="D126" s="8">
        <f t="shared" si="1"/>
        <v>0</v>
      </c>
      <c r="E126" s="33">
        <v>43299</v>
      </c>
      <c r="F126" s="82" t="s">
        <v>113</v>
      </c>
      <c r="G126" s="25">
        <v>25000</v>
      </c>
      <c r="H126" s="10"/>
      <c r="I126" s="1">
        <f t="shared" si="3"/>
        <v>0</v>
      </c>
      <c r="J126" s="2"/>
      <c r="K126" s="2"/>
    </row>
    <row r="127" spans="1:11" ht="27" hidden="1" customHeight="1" outlineLevel="1">
      <c r="A127" s="1"/>
      <c r="B127" s="1" t="str">
        <f t="shared" si="0"/>
        <v>250000</v>
      </c>
      <c r="C127" s="1"/>
      <c r="D127" s="8">
        <f t="shared" si="1"/>
        <v>0</v>
      </c>
      <c r="E127" s="33">
        <v>43299</v>
      </c>
      <c r="F127" s="82" t="s">
        <v>114</v>
      </c>
      <c r="G127" s="25">
        <v>25000</v>
      </c>
      <c r="H127" s="10"/>
      <c r="I127" s="1">
        <f t="shared" si="3"/>
        <v>0</v>
      </c>
      <c r="J127" s="2"/>
      <c r="K127" s="2"/>
    </row>
    <row r="128" spans="1:11" ht="27" hidden="1" customHeight="1" outlineLevel="1">
      <c r="A128" s="1"/>
      <c r="B128" s="1" t="str">
        <f t="shared" si="0"/>
        <v>250000</v>
      </c>
      <c r="C128" s="1"/>
      <c r="D128" s="8">
        <f t="shared" si="1"/>
        <v>0</v>
      </c>
      <c r="E128" s="33">
        <v>43306</v>
      </c>
      <c r="F128" s="82" t="s">
        <v>115</v>
      </c>
      <c r="G128" s="25">
        <v>25000</v>
      </c>
      <c r="H128" s="10"/>
      <c r="I128" s="1">
        <f t="shared" si="3"/>
        <v>0</v>
      </c>
      <c r="J128" s="2"/>
      <c r="K128" s="2"/>
    </row>
    <row r="129" spans="1:11" ht="27" hidden="1" customHeight="1" outlineLevel="1">
      <c r="A129" s="1"/>
      <c r="B129" s="1" t="str">
        <f t="shared" si="0"/>
        <v>250000</v>
      </c>
      <c r="C129" s="1"/>
      <c r="D129" s="8">
        <f t="shared" si="1"/>
        <v>0</v>
      </c>
      <c r="E129" s="33">
        <v>43306</v>
      </c>
      <c r="F129" s="82" t="s">
        <v>116</v>
      </c>
      <c r="G129" s="25">
        <v>25000</v>
      </c>
      <c r="H129" s="10"/>
      <c r="I129" s="1">
        <f t="shared" si="3"/>
        <v>0</v>
      </c>
      <c r="J129" s="2"/>
      <c r="K129" s="2"/>
    </row>
    <row r="130" spans="1:11" ht="27" hidden="1" customHeight="1" outlineLevel="1">
      <c r="A130" s="1"/>
      <c r="B130" s="1" t="str">
        <f t="shared" si="0"/>
        <v>250000</v>
      </c>
      <c r="C130" s="1"/>
      <c r="D130" s="8">
        <f t="shared" si="1"/>
        <v>0</v>
      </c>
      <c r="E130" s="33">
        <v>43368</v>
      </c>
      <c r="F130" s="82" t="s">
        <v>128</v>
      </c>
      <c r="G130" s="25">
        <v>25000</v>
      </c>
      <c r="H130" s="10"/>
      <c r="I130" s="1">
        <f t="shared" si="3"/>
        <v>0</v>
      </c>
      <c r="J130" s="2"/>
      <c r="K130" s="2"/>
    </row>
    <row r="131" spans="1:11" ht="27" hidden="1" customHeight="1" outlineLevel="1">
      <c r="A131" s="1"/>
      <c r="B131" s="1" t="str">
        <f t="shared" si="0"/>
        <v>250000</v>
      </c>
      <c r="C131" s="1"/>
      <c r="D131" s="8">
        <f t="shared" si="1"/>
        <v>0</v>
      </c>
      <c r="E131" s="33">
        <v>43368</v>
      </c>
      <c r="F131" s="82" t="s">
        <v>129</v>
      </c>
      <c r="G131" s="25">
        <v>25000</v>
      </c>
      <c r="H131" s="10"/>
      <c r="I131" s="1">
        <f t="shared" si="3"/>
        <v>0</v>
      </c>
      <c r="J131" s="2"/>
      <c r="K131" s="2"/>
    </row>
    <row r="132" spans="1:11" ht="27" hidden="1" customHeight="1" outlineLevel="1">
      <c r="A132" s="1"/>
      <c r="B132" s="1" t="str">
        <f t="shared" si="0"/>
        <v>250000</v>
      </c>
      <c r="C132" s="1"/>
      <c r="D132" s="8">
        <f t="shared" si="1"/>
        <v>0</v>
      </c>
      <c r="E132" s="33">
        <v>43375</v>
      </c>
      <c r="F132" s="82" t="s">
        <v>130</v>
      </c>
      <c r="G132" s="25">
        <v>25000</v>
      </c>
      <c r="H132" s="10"/>
      <c r="I132" s="1">
        <f t="shared" si="3"/>
        <v>0</v>
      </c>
      <c r="J132" s="2"/>
      <c r="K132" s="2"/>
    </row>
    <row r="133" spans="1:11" ht="27" hidden="1" customHeight="1" outlineLevel="1">
      <c r="A133" s="1"/>
      <c r="B133" s="1" t="str">
        <f t="shared" si="0"/>
        <v>250000</v>
      </c>
      <c r="C133" s="1"/>
      <c r="D133" s="8">
        <f t="shared" si="1"/>
        <v>0</v>
      </c>
      <c r="E133" s="33">
        <v>43375</v>
      </c>
      <c r="F133" s="82" t="s">
        <v>131</v>
      </c>
      <c r="G133" s="25">
        <v>25000</v>
      </c>
      <c r="H133" s="10"/>
      <c r="I133" s="1">
        <f t="shared" si="3"/>
        <v>0</v>
      </c>
      <c r="J133" s="2"/>
      <c r="K133" s="2"/>
    </row>
    <row r="134" spans="1:11" ht="27" hidden="1" customHeight="1" outlineLevel="1">
      <c r="A134" s="1"/>
      <c r="B134" s="1" t="str">
        <f t="shared" si="0"/>
        <v>250000</v>
      </c>
      <c r="C134" s="1"/>
      <c r="D134" s="8">
        <f t="shared" si="1"/>
        <v>0</v>
      </c>
      <c r="E134" s="33">
        <v>43377</v>
      </c>
      <c r="F134" s="82" t="s">
        <v>132</v>
      </c>
      <c r="G134" s="25">
        <v>25000</v>
      </c>
      <c r="H134" s="10"/>
      <c r="I134" s="1">
        <f t="shared" si="3"/>
        <v>0</v>
      </c>
      <c r="J134" s="2"/>
      <c r="K134" s="2"/>
    </row>
    <row r="135" spans="1:11" ht="27" hidden="1" customHeight="1" outlineLevel="1">
      <c r="A135" s="1"/>
      <c r="B135" s="1" t="str">
        <f t="shared" si="0"/>
        <v>250000</v>
      </c>
      <c r="C135" s="1"/>
      <c r="D135" s="8">
        <f t="shared" si="1"/>
        <v>0</v>
      </c>
      <c r="E135" s="33">
        <v>43377</v>
      </c>
      <c r="F135" s="82" t="s">
        <v>133</v>
      </c>
      <c r="G135" s="25">
        <v>25000</v>
      </c>
      <c r="H135" s="10"/>
      <c r="I135" s="1">
        <f t="shared" si="3"/>
        <v>0</v>
      </c>
      <c r="J135" s="2"/>
      <c r="K135" s="2"/>
    </row>
    <row r="136" spans="1:11" ht="27" hidden="1" customHeight="1" outlineLevel="1">
      <c r="A136" s="1"/>
      <c r="B136" s="1" t="str">
        <f t="shared" si="0"/>
        <v>250000</v>
      </c>
      <c r="C136" s="1"/>
      <c r="D136" s="8">
        <f t="shared" si="1"/>
        <v>0</v>
      </c>
      <c r="E136" s="33">
        <v>43378</v>
      </c>
      <c r="F136" s="82" t="s">
        <v>134</v>
      </c>
      <c r="G136" s="25">
        <v>25000</v>
      </c>
      <c r="H136" s="10"/>
      <c r="I136" s="1">
        <f t="shared" si="3"/>
        <v>0</v>
      </c>
      <c r="J136" s="2"/>
      <c r="K136" s="2"/>
    </row>
    <row r="137" spans="1:11" ht="27" hidden="1" customHeight="1" outlineLevel="1">
      <c r="A137" s="1"/>
      <c r="B137" s="1" t="str">
        <f t="shared" si="0"/>
        <v>250000</v>
      </c>
      <c r="C137" s="1"/>
      <c r="D137" s="8">
        <f t="shared" si="1"/>
        <v>0</v>
      </c>
      <c r="E137" s="33">
        <v>43378</v>
      </c>
      <c r="F137" s="82" t="s">
        <v>135</v>
      </c>
      <c r="G137" s="25">
        <v>25000</v>
      </c>
      <c r="H137" s="10"/>
      <c r="I137" s="1">
        <f t="shared" ref="I137:I200" si="4">IF(AND(E137&gt;=$J$6,E137&lt;=$K$6,A137=$I$6),1,0)</f>
        <v>0</v>
      </c>
      <c r="J137" s="2"/>
      <c r="K137" s="2"/>
    </row>
    <row r="138" spans="1:11" ht="27" hidden="1" customHeight="1" outlineLevel="1">
      <c r="A138" s="1"/>
      <c r="B138" s="1" t="str">
        <f t="shared" si="0"/>
        <v>250000</v>
      </c>
      <c r="C138" s="1"/>
      <c r="D138" s="8">
        <f t="shared" si="1"/>
        <v>0</v>
      </c>
      <c r="E138" s="33">
        <v>43381</v>
      </c>
      <c r="F138" s="82" t="s">
        <v>136</v>
      </c>
      <c r="G138" s="25">
        <v>25000</v>
      </c>
      <c r="H138" s="10"/>
      <c r="I138" s="1">
        <f t="shared" si="4"/>
        <v>0</v>
      </c>
      <c r="J138" s="2"/>
      <c r="K138" s="2"/>
    </row>
    <row r="139" spans="1:11" ht="27" hidden="1" customHeight="1" outlineLevel="1">
      <c r="A139" s="1"/>
      <c r="B139" s="1" t="str">
        <f t="shared" si="0"/>
        <v>250000</v>
      </c>
      <c r="C139" s="1"/>
      <c r="D139" s="8">
        <f t="shared" si="1"/>
        <v>0</v>
      </c>
      <c r="E139" s="33">
        <v>43381</v>
      </c>
      <c r="F139" s="82" t="s">
        <v>137</v>
      </c>
      <c r="G139" s="25">
        <v>25000</v>
      </c>
      <c r="H139" s="10"/>
      <c r="I139" s="1">
        <f t="shared" si="4"/>
        <v>0</v>
      </c>
      <c r="J139" s="2"/>
      <c r="K139" s="2"/>
    </row>
    <row r="140" spans="1:11" ht="27" hidden="1" customHeight="1" outlineLevel="1">
      <c r="A140" s="1"/>
      <c r="B140" s="1" t="str">
        <f t="shared" si="0"/>
        <v>250000</v>
      </c>
      <c r="C140" s="1"/>
      <c r="D140" s="8">
        <f t="shared" si="1"/>
        <v>0</v>
      </c>
      <c r="E140" s="33">
        <v>43383</v>
      </c>
      <c r="F140" s="82">
        <v>333566</v>
      </c>
      <c r="G140" s="25">
        <v>25000</v>
      </c>
      <c r="H140" s="10"/>
      <c r="I140" s="1">
        <f t="shared" si="4"/>
        <v>0</v>
      </c>
      <c r="J140" s="2"/>
      <c r="K140" s="2"/>
    </row>
    <row r="141" spans="1:11" ht="27" hidden="1" customHeight="1" outlineLevel="1">
      <c r="A141" s="1"/>
      <c r="B141" s="1" t="str">
        <f t="shared" si="0"/>
        <v>250000</v>
      </c>
      <c r="C141" s="1"/>
      <c r="D141" s="8">
        <f t="shared" si="1"/>
        <v>0</v>
      </c>
      <c r="E141" s="33">
        <v>43383</v>
      </c>
      <c r="F141" s="82">
        <v>331107</v>
      </c>
      <c r="G141" s="25">
        <v>25000</v>
      </c>
      <c r="H141" s="10"/>
      <c r="I141" s="1">
        <f t="shared" si="4"/>
        <v>0</v>
      </c>
      <c r="J141" s="2"/>
      <c r="K141" s="2"/>
    </row>
    <row r="142" spans="1:11" ht="27" hidden="1" customHeight="1" outlineLevel="1">
      <c r="A142" s="1"/>
      <c r="B142" s="1" t="str">
        <f t="shared" si="0"/>
        <v>250000</v>
      </c>
      <c r="C142" s="1"/>
      <c r="D142" s="8">
        <f t="shared" si="1"/>
        <v>0</v>
      </c>
      <c r="E142" s="33">
        <v>43392</v>
      </c>
      <c r="F142" s="82">
        <v>313095</v>
      </c>
      <c r="G142" s="25">
        <v>25000</v>
      </c>
      <c r="H142" s="10"/>
      <c r="I142" s="1">
        <f t="shared" si="4"/>
        <v>0</v>
      </c>
      <c r="J142" s="2"/>
      <c r="K142" s="2"/>
    </row>
    <row r="143" spans="1:11" ht="27" hidden="1" customHeight="1" outlineLevel="1">
      <c r="A143" s="1"/>
      <c r="B143" s="1" t="str">
        <f t="shared" si="0"/>
        <v>250000</v>
      </c>
      <c r="C143" s="1"/>
      <c r="D143" s="8">
        <f t="shared" si="1"/>
        <v>0</v>
      </c>
      <c r="E143" s="33">
        <v>43392</v>
      </c>
      <c r="F143" s="82">
        <v>335859</v>
      </c>
      <c r="G143" s="25">
        <v>25000</v>
      </c>
      <c r="H143" s="10"/>
      <c r="I143" s="1">
        <f t="shared" si="4"/>
        <v>0</v>
      </c>
      <c r="J143" s="2"/>
      <c r="K143" s="2"/>
    </row>
    <row r="144" spans="1:11" ht="27" hidden="1" customHeight="1" outlineLevel="1">
      <c r="A144" s="1"/>
      <c r="B144" s="1" t="str">
        <f t="shared" si="0"/>
        <v>250000</v>
      </c>
      <c r="C144" s="1"/>
      <c r="D144" s="8">
        <f t="shared" si="1"/>
        <v>0</v>
      </c>
      <c r="E144" s="33">
        <v>43397</v>
      </c>
      <c r="F144" s="82">
        <v>371431</v>
      </c>
      <c r="G144" s="25">
        <v>25000</v>
      </c>
      <c r="H144" s="10"/>
      <c r="I144" s="1">
        <f t="shared" si="4"/>
        <v>0</v>
      </c>
      <c r="J144" s="2"/>
      <c r="K144" s="2"/>
    </row>
    <row r="145" spans="1:11" ht="27" hidden="1" customHeight="1" outlineLevel="1">
      <c r="A145" s="1"/>
      <c r="B145" s="1" t="str">
        <f t="shared" si="0"/>
        <v>250000</v>
      </c>
      <c r="C145" s="1"/>
      <c r="D145" s="8">
        <f t="shared" si="1"/>
        <v>0</v>
      </c>
      <c r="E145" s="33">
        <v>43397</v>
      </c>
      <c r="F145" s="82">
        <v>371613</v>
      </c>
      <c r="G145" s="25">
        <v>25000</v>
      </c>
      <c r="H145" s="10"/>
      <c r="I145" s="1">
        <f t="shared" si="4"/>
        <v>0</v>
      </c>
      <c r="J145" s="2"/>
      <c r="K145" s="2"/>
    </row>
    <row r="146" spans="1:11" ht="27" hidden="1" customHeight="1" outlineLevel="1">
      <c r="A146" s="1"/>
      <c r="B146" s="1" t="str">
        <f t="shared" si="0"/>
        <v>250000</v>
      </c>
      <c r="C146" s="1"/>
      <c r="D146" s="8">
        <f t="shared" si="1"/>
        <v>0</v>
      </c>
      <c r="E146" s="33">
        <v>43398</v>
      </c>
      <c r="F146" s="82">
        <v>375522</v>
      </c>
      <c r="G146" s="25">
        <v>25000</v>
      </c>
      <c r="H146" s="10"/>
      <c r="I146" s="1">
        <f t="shared" si="4"/>
        <v>0</v>
      </c>
      <c r="J146" s="2"/>
      <c r="K146" s="2"/>
    </row>
    <row r="147" spans="1:11" ht="27" hidden="1" customHeight="1" outlineLevel="1">
      <c r="A147" s="1"/>
      <c r="B147" s="1" t="str">
        <f t="shared" si="0"/>
        <v>250000</v>
      </c>
      <c r="C147" s="1"/>
      <c r="D147" s="8">
        <f t="shared" si="1"/>
        <v>0</v>
      </c>
      <c r="E147" s="33">
        <v>43398</v>
      </c>
      <c r="F147" s="82">
        <v>340513</v>
      </c>
      <c r="G147" s="25">
        <v>25000</v>
      </c>
      <c r="H147" s="10"/>
      <c r="I147" s="1">
        <f t="shared" si="4"/>
        <v>0</v>
      </c>
      <c r="J147" s="2"/>
      <c r="K147" s="2"/>
    </row>
    <row r="148" spans="1:11" ht="27" hidden="1" customHeight="1" outlineLevel="1">
      <c r="A148" s="1"/>
      <c r="B148" s="1" t="str">
        <f t="shared" si="0"/>
        <v>250000</v>
      </c>
      <c r="C148" s="1"/>
      <c r="D148" s="8">
        <f t="shared" si="1"/>
        <v>0</v>
      </c>
      <c r="E148" s="33">
        <v>43409</v>
      </c>
      <c r="F148" s="84">
        <v>329197</v>
      </c>
      <c r="G148" s="25">
        <v>25000</v>
      </c>
      <c r="H148" s="30"/>
      <c r="I148" s="1">
        <f t="shared" si="4"/>
        <v>0</v>
      </c>
      <c r="J148" s="2"/>
      <c r="K148" s="2"/>
    </row>
    <row r="149" spans="1:11" ht="27" hidden="1" customHeight="1" outlineLevel="1">
      <c r="A149" s="1"/>
      <c r="B149" s="1" t="str">
        <f t="shared" si="0"/>
        <v>250000</v>
      </c>
      <c r="C149" s="1"/>
      <c r="D149" s="8">
        <f t="shared" si="1"/>
        <v>0</v>
      </c>
      <c r="E149" s="33">
        <v>43409</v>
      </c>
      <c r="F149" s="82">
        <v>321206</v>
      </c>
      <c r="G149" s="25">
        <v>25000</v>
      </c>
      <c r="H149" s="10"/>
      <c r="I149" s="1">
        <f t="shared" si="4"/>
        <v>0</v>
      </c>
      <c r="J149" s="2"/>
      <c r="K149" s="2"/>
    </row>
    <row r="150" spans="1:11" ht="27" hidden="1" customHeight="1" outlineLevel="1">
      <c r="A150" s="1"/>
      <c r="B150" s="1" t="str">
        <f t="shared" si="0"/>
        <v>250000</v>
      </c>
      <c r="C150" s="1"/>
      <c r="D150" s="8">
        <f t="shared" si="1"/>
        <v>0</v>
      </c>
      <c r="E150" s="33">
        <v>43410</v>
      </c>
      <c r="F150" s="82">
        <v>321080</v>
      </c>
      <c r="G150" s="25">
        <v>25000</v>
      </c>
      <c r="H150" s="10"/>
      <c r="I150" s="1">
        <f t="shared" si="4"/>
        <v>0</v>
      </c>
      <c r="J150" s="2"/>
      <c r="K150" s="2"/>
    </row>
    <row r="151" spans="1:11" ht="27" hidden="1" customHeight="1" outlineLevel="1">
      <c r="A151" s="1"/>
      <c r="B151" s="1" t="str">
        <f t="shared" si="0"/>
        <v>250000</v>
      </c>
      <c r="C151" s="1"/>
      <c r="D151" s="8">
        <f t="shared" si="1"/>
        <v>0</v>
      </c>
      <c r="E151" s="33">
        <v>43410</v>
      </c>
      <c r="F151" s="82">
        <v>321968</v>
      </c>
      <c r="G151" s="25">
        <v>25000</v>
      </c>
      <c r="H151" s="10"/>
      <c r="I151" s="1">
        <f t="shared" si="4"/>
        <v>0</v>
      </c>
      <c r="J151" s="2"/>
      <c r="K151" s="2"/>
    </row>
    <row r="152" spans="1:11" ht="27" hidden="1" customHeight="1" outlineLevel="1">
      <c r="A152" s="1"/>
      <c r="B152" s="1" t="str">
        <f t="shared" si="0"/>
        <v>250000</v>
      </c>
      <c r="C152" s="1"/>
      <c r="D152" s="8">
        <f t="shared" si="1"/>
        <v>0</v>
      </c>
      <c r="E152" s="33">
        <v>43412</v>
      </c>
      <c r="F152" s="82">
        <v>351068</v>
      </c>
      <c r="G152" s="25">
        <v>25000</v>
      </c>
      <c r="H152" s="10"/>
      <c r="I152" s="1">
        <f t="shared" si="4"/>
        <v>0</v>
      </c>
      <c r="J152" s="2"/>
      <c r="K152" s="2"/>
    </row>
    <row r="153" spans="1:11" ht="27" hidden="1" customHeight="1" outlineLevel="1">
      <c r="A153" s="1"/>
      <c r="B153" s="1" t="str">
        <f t="shared" si="0"/>
        <v>250000</v>
      </c>
      <c r="C153" s="1"/>
      <c r="D153" s="8">
        <f t="shared" si="1"/>
        <v>0</v>
      </c>
      <c r="E153" s="33">
        <v>43412</v>
      </c>
      <c r="F153" s="82">
        <v>355816</v>
      </c>
      <c r="G153" s="25">
        <v>25000</v>
      </c>
      <c r="H153" s="10"/>
      <c r="I153" s="1">
        <f t="shared" si="4"/>
        <v>0</v>
      </c>
      <c r="J153" s="2"/>
      <c r="K153" s="2"/>
    </row>
    <row r="154" spans="1:11" ht="27" hidden="1" customHeight="1" outlineLevel="1">
      <c r="A154" s="1"/>
      <c r="B154" s="1" t="str">
        <f t="shared" si="0"/>
        <v>250000</v>
      </c>
      <c r="C154" s="1"/>
      <c r="D154" s="8">
        <f t="shared" si="1"/>
        <v>0</v>
      </c>
      <c r="E154" s="33">
        <v>43413</v>
      </c>
      <c r="F154" s="82">
        <v>355877</v>
      </c>
      <c r="G154" s="25">
        <v>25000</v>
      </c>
      <c r="H154" s="10"/>
      <c r="I154" s="1">
        <f t="shared" si="4"/>
        <v>0</v>
      </c>
      <c r="J154" s="2"/>
      <c r="K154" s="2"/>
    </row>
    <row r="155" spans="1:11" ht="27" hidden="1" customHeight="1" outlineLevel="1">
      <c r="A155" s="1"/>
      <c r="B155" s="1" t="str">
        <f t="shared" si="0"/>
        <v>250000</v>
      </c>
      <c r="C155" s="1"/>
      <c r="D155" s="8">
        <f t="shared" si="1"/>
        <v>0</v>
      </c>
      <c r="E155" s="33">
        <v>43413</v>
      </c>
      <c r="F155" s="82">
        <v>416683</v>
      </c>
      <c r="G155" s="25">
        <v>25000</v>
      </c>
      <c r="H155" s="10"/>
      <c r="I155" s="1">
        <f t="shared" si="4"/>
        <v>0</v>
      </c>
      <c r="J155" s="2"/>
      <c r="K155" s="2"/>
    </row>
    <row r="156" spans="1:11" ht="27" hidden="1" customHeight="1" outlineLevel="1">
      <c r="A156" s="1"/>
      <c r="B156" s="1" t="str">
        <f t="shared" si="0"/>
        <v>250000</v>
      </c>
      <c r="C156" s="1"/>
      <c r="D156" s="8">
        <f t="shared" si="1"/>
        <v>0</v>
      </c>
      <c r="E156" s="33">
        <v>43416</v>
      </c>
      <c r="F156" s="82">
        <v>518422</v>
      </c>
      <c r="G156" s="25">
        <v>25000</v>
      </c>
      <c r="H156" s="10"/>
      <c r="I156" s="1">
        <f t="shared" si="4"/>
        <v>0</v>
      </c>
      <c r="J156" s="2"/>
      <c r="K156" s="2"/>
    </row>
    <row r="157" spans="1:11" ht="27" hidden="1" customHeight="1" outlineLevel="1">
      <c r="A157" s="1"/>
      <c r="B157" s="1" t="str">
        <f t="shared" si="0"/>
        <v>250000</v>
      </c>
      <c r="C157" s="1"/>
      <c r="D157" s="8">
        <f t="shared" si="1"/>
        <v>0</v>
      </c>
      <c r="E157" s="33">
        <v>43416</v>
      </c>
      <c r="F157" s="82">
        <v>453897</v>
      </c>
      <c r="G157" s="25">
        <v>25000</v>
      </c>
      <c r="H157" s="10"/>
      <c r="I157" s="1">
        <f t="shared" si="4"/>
        <v>0</v>
      </c>
      <c r="J157" s="2"/>
      <c r="K157" s="2"/>
    </row>
    <row r="158" spans="1:11" ht="27" hidden="1" customHeight="1" outlineLevel="1">
      <c r="A158" s="1"/>
      <c r="B158" s="1" t="str">
        <f t="shared" si="0"/>
        <v>250000</v>
      </c>
      <c r="C158" s="1"/>
      <c r="D158" s="8">
        <f t="shared" si="1"/>
        <v>0</v>
      </c>
      <c r="E158" s="33">
        <v>43418</v>
      </c>
      <c r="F158" s="82">
        <v>512083</v>
      </c>
      <c r="G158" s="25">
        <v>25000</v>
      </c>
      <c r="H158" s="10"/>
      <c r="I158" s="1">
        <f t="shared" si="4"/>
        <v>0</v>
      </c>
      <c r="J158" s="2"/>
      <c r="K158" s="2"/>
    </row>
    <row r="159" spans="1:11" ht="27" hidden="1" customHeight="1" outlineLevel="1">
      <c r="A159" s="1"/>
      <c r="B159" s="1" t="str">
        <f t="shared" si="0"/>
        <v>250000</v>
      </c>
      <c r="C159" s="1"/>
      <c r="D159" s="8">
        <f t="shared" si="1"/>
        <v>0</v>
      </c>
      <c r="E159" s="33">
        <v>43418</v>
      </c>
      <c r="F159" s="82">
        <v>453983</v>
      </c>
      <c r="G159" s="25">
        <v>25000</v>
      </c>
      <c r="H159" s="10"/>
      <c r="I159" s="1">
        <f t="shared" si="4"/>
        <v>0</v>
      </c>
      <c r="J159" s="2"/>
      <c r="K159" s="2"/>
    </row>
    <row r="160" spans="1:11" ht="27" hidden="1" customHeight="1" outlineLevel="1">
      <c r="A160" s="1"/>
      <c r="B160" s="1" t="str">
        <f t="shared" si="0"/>
        <v>250000</v>
      </c>
      <c r="C160" s="1"/>
      <c r="D160" s="8">
        <f t="shared" si="1"/>
        <v>0</v>
      </c>
      <c r="E160" s="33">
        <v>43419</v>
      </c>
      <c r="F160" s="82">
        <v>434560</v>
      </c>
      <c r="G160" s="25">
        <v>25000</v>
      </c>
      <c r="H160" s="10"/>
      <c r="I160" s="1">
        <f t="shared" si="4"/>
        <v>0</v>
      </c>
      <c r="J160" s="2"/>
      <c r="K160" s="2"/>
    </row>
    <row r="161" spans="1:11" ht="27" hidden="1" customHeight="1" outlineLevel="1">
      <c r="A161" s="1"/>
      <c r="B161" s="1" t="str">
        <f t="shared" si="0"/>
        <v>250000</v>
      </c>
      <c r="C161" s="1"/>
      <c r="D161" s="8">
        <f t="shared" si="1"/>
        <v>0</v>
      </c>
      <c r="E161" s="33">
        <v>43419</v>
      </c>
      <c r="F161" s="82">
        <v>430523</v>
      </c>
      <c r="G161" s="25">
        <v>25000</v>
      </c>
      <c r="H161" s="10"/>
      <c r="I161" s="1">
        <f t="shared" si="4"/>
        <v>0</v>
      </c>
      <c r="J161" s="2"/>
      <c r="K161" s="2"/>
    </row>
    <row r="162" spans="1:11" ht="27" hidden="1" customHeight="1" outlineLevel="1">
      <c r="A162" s="1"/>
      <c r="B162" s="1" t="str">
        <f t="shared" si="0"/>
        <v>250000</v>
      </c>
      <c r="C162" s="1"/>
      <c r="D162" s="8">
        <f t="shared" si="1"/>
        <v>0</v>
      </c>
      <c r="E162" s="33">
        <v>43420</v>
      </c>
      <c r="F162" s="82">
        <v>437113</v>
      </c>
      <c r="G162" s="25">
        <v>25000</v>
      </c>
      <c r="H162" s="10"/>
      <c r="I162" s="1">
        <f t="shared" si="4"/>
        <v>0</v>
      </c>
      <c r="J162" s="2"/>
      <c r="K162" s="2"/>
    </row>
    <row r="163" spans="1:11" ht="27" hidden="1" customHeight="1" outlineLevel="1">
      <c r="A163" s="1"/>
      <c r="B163" s="1" t="str">
        <f t="shared" si="0"/>
        <v>250000</v>
      </c>
      <c r="C163" s="1"/>
      <c r="D163" s="8">
        <f t="shared" si="1"/>
        <v>0</v>
      </c>
      <c r="E163" s="33">
        <v>43420</v>
      </c>
      <c r="F163" s="82">
        <v>433618</v>
      </c>
      <c r="G163" s="25">
        <v>25000</v>
      </c>
      <c r="H163" s="10"/>
      <c r="I163" s="1">
        <f t="shared" si="4"/>
        <v>0</v>
      </c>
      <c r="J163" s="2"/>
      <c r="K163" s="2"/>
    </row>
    <row r="164" spans="1:11" ht="27" hidden="1" customHeight="1" outlineLevel="1">
      <c r="A164" s="1"/>
      <c r="B164" s="1" t="str">
        <f t="shared" si="0"/>
        <v>250000</v>
      </c>
      <c r="C164" s="1"/>
      <c r="D164" s="8">
        <f t="shared" si="1"/>
        <v>0</v>
      </c>
      <c r="E164" s="33">
        <v>43423</v>
      </c>
      <c r="F164" s="82">
        <v>499962</v>
      </c>
      <c r="G164" s="25">
        <v>25000</v>
      </c>
      <c r="H164" s="10"/>
      <c r="I164" s="1">
        <f t="shared" si="4"/>
        <v>0</v>
      </c>
      <c r="J164" s="2"/>
      <c r="K164" s="2"/>
    </row>
    <row r="165" spans="1:11" ht="27" hidden="1" customHeight="1" outlineLevel="1">
      <c r="A165" s="1"/>
      <c r="B165" s="1" t="str">
        <f t="shared" si="0"/>
        <v>250000</v>
      </c>
      <c r="C165" s="1"/>
      <c r="D165" s="8">
        <f t="shared" si="1"/>
        <v>0</v>
      </c>
      <c r="E165" s="33">
        <v>43423</v>
      </c>
      <c r="F165" s="82">
        <v>464838</v>
      </c>
      <c r="G165" s="25">
        <v>25000</v>
      </c>
      <c r="H165" s="10"/>
      <c r="I165" s="1">
        <f t="shared" si="4"/>
        <v>0</v>
      </c>
      <c r="J165" s="2"/>
      <c r="K165" s="2"/>
    </row>
    <row r="166" spans="1:11" ht="27" hidden="1" customHeight="1" outlineLevel="1">
      <c r="A166" s="1"/>
      <c r="B166" s="1" t="str">
        <f t="shared" si="0"/>
        <v>250000</v>
      </c>
      <c r="C166" s="1"/>
      <c r="D166" s="8">
        <f t="shared" si="1"/>
        <v>0</v>
      </c>
      <c r="E166" s="33">
        <v>43424</v>
      </c>
      <c r="F166" s="82">
        <v>495197</v>
      </c>
      <c r="G166" s="25">
        <v>25000</v>
      </c>
      <c r="H166" s="10"/>
      <c r="I166" s="1">
        <f t="shared" si="4"/>
        <v>0</v>
      </c>
      <c r="J166" s="2"/>
      <c r="K166" s="2"/>
    </row>
    <row r="167" spans="1:11" ht="27" hidden="1" customHeight="1" outlineLevel="1">
      <c r="A167" s="1"/>
      <c r="B167" s="1" t="str">
        <f t="shared" si="0"/>
        <v>250000</v>
      </c>
      <c r="C167" s="1"/>
      <c r="D167" s="8">
        <f t="shared" si="1"/>
        <v>0</v>
      </c>
      <c r="E167" s="33">
        <v>43424</v>
      </c>
      <c r="F167" s="82">
        <v>463620</v>
      </c>
      <c r="G167" s="25">
        <v>25000</v>
      </c>
      <c r="H167" s="10"/>
      <c r="I167" s="1">
        <f t="shared" si="4"/>
        <v>0</v>
      </c>
      <c r="J167" s="2"/>
      <c r="K167" s="2"/>
    </row>
    <row r="168" spans="1:11" s="76" customFormat="1" ht="27" hidden="1" customHeight="1" outlineLevel="1">
      <c r="A168" s="1"/>
      <c r="B168" s="1" t="str">
        <f t="shared" ref="B168:B231" si="5">G168&amp;I168</f>
        <v>250000</v>
      </c>
      <c r="C168" s="1"/>
      <c r="D168" s="27">
        <f t="shared" ref="D168:D231" si="6">SUM($I$8:I168)</f>
        <v>0</v>
      </c>
      <c r="E168" s="33">
        <v>43425</v>
      </c>
      <c r="F168" s="82">
        <v>526225</v>
      </c>
      <c r="G168" s="25">
        <v>25000</v>
      </c>
      <c r="H168" s="28"/>
      <c r="I168" s="1">
        <f t="shared" si="4"/>
        <v>0</v>
      </c>
      <c r="J168" s="2"/>
      <c r="K168" s="2"/>
    </row>
    <row r="169" spans="1:11" s="76" customFormat="1" ht="27" hidden="1" customHeight="1" outlineLevel="1">
      <c r="A169" s="1"/>
      <c r="B169" s="1" t="str">
        <f t="shared" si="5"/>
        <v>250000</v>
      </c>
      <c r="C169" s="1"/>
      <c r="D169" s="27">
        <f t="shared" si="6"/>
        <v>0</v>
      </c>
      <c r="E169" s="33">
        <v>43425</v>
      </c>
      <c r="F169" s="82">
        <v>522204</v>
      </c>
      <c r="G169" s="25">
        <v>25000</v>
      </c>
      <c r="H169" s="28"/>
      <c r="I169" s="1">
        <f t="shared" si="4"/>
        <v>0</v>
      </c>
      <c r="J169" s="2"/>
      <c r="K169" s="2"/>
    </row>
    <row r="170" spans="1:11" s="76" customFormat="1" ht="27" hidden="1" customHeight="1" outlineLevel="1">
      <c r="A170" s="1"/>
      <c r="B170" s="1" t="str">
        <f t="shared" si="5"/>
        <v>250000</v>
      </c>
      <c r="C170" s="1"/>
      <c r="D170" s="27">
        <f t="shared" si="6"/>
        <v>0</v>
      </c>
      <c r="E170" s="33">
        <v>43430</v>
      </c>
      <c r="F170" s="82">
        <v>556877</v>
      </c>
      <c r="G170" s="25">
        <v>25000</v>
      </c>
      <c r="H170" s="28"/>
      <c r="I170" s="1">
        <f t="shared" si="4"/>
        <v>0</v>
      </c>
      <c r="J170" s="2"/>
      <c r="K170" s="2"/>
    </row>
    <row r="171" spans="1:11" s="76" customFormat="1" ht="27" hidden="1" customHeight="1" outlineLevel="1">
      <c r="A171" s="1"/>
      <c r="B171" s="1" t="str">
        <f t="shared" si="5"/>
        <v>250000</v>
      </c>
      <c r="C171" s="1"/>
      <c r="D171" s="27">
        <f t="shared" si="6"/>
        <v>0</v>
      </c>
      <c r="E171" s="33">
        <v>43430</v>
      </c>
      <c r="F171" s="82">
        <v>473742</v>
      </c>
      <c r="G171" s="25">
        <v>25000</v>
      </c>
      <c r="H171" s="28"/>
      <c r="I171" s="1">
        <f t="shared" si="4"/>
        <v>0</v>
      </c>
      <c r="J171" s="2"/>
      <c r="K171" s="2"/>
    </row>
    <row r="172" spans="1:11" s="76" customFormat="1" ht="27" hidden="1" customHeight="1" outlineLevel="1">
      <c r="A172" s="1"/>
      <c r="B172" s="1" t="str">
        <f t="shared" si="5"/>
        <v>250000</v>
      </c>
      <c r="C172" s="1"/>
      <c r="D172" s="27">
        <f t="shared" si="6"/>
        <v>0</v>
      </c>
      <c r="E172" s="33">
        <v>43432</v>
      </c>
      <c r="F172" s="82">
        <v>442963</v>
      </c>
      <c r="G172" s="25">
        <v>25000</v>
      </c>
      <c r="H172" s="28"/>
      <c r="I172" s="1">
        <f t="shared" si="4"/>
        <v>0</v>
      </c>
      <c r="J172" s="2"/>
      <c r="K172" s="2"/>
    </row>
    <row r="173" spans="1:11" s="76" customFormat="1" ht="27" hidden="1" customHeight="1" outlineLevel="1">
      <c r="A173" s="1"/>
      <c r="B173" s="1" t="str">
        <f t="shared" si="5"/>
        <v>250000</v>
      </c>
      <c r="C173" s="1"/>
      <c r="D173" s="27">
        <f t="shared" si="6"/>
        <v>0</v>
      </c>
      <c r="E173" s="33">
        <v>43432</v>
      </c>
      <c r="F173" s="82">
        <v>441112</v>
      </c>
      <c r="G173" s="25">
        <v>25000</v>
      </c>
      <c r="H173" s="28"/>
      <c r="I173" s="1">
        <f t="shared" si="4"/>
        <v>0</v>
      </c>
      <c r="J173" s="2"/>
      <c r="K173" s="2"/>
    </row>
    <row r="174" spans="1:11" s="76" customFormat="1" ht="27" hidden="1" customHeight="1" outlineLevel="1">
      <c r="A174" s="1"/>
      <c r="B174" s="1" t="str">
        <f t="shared" si="5"/>
        <v>250000</v>
      </c>
      <c r="C174" s="1"/>
      <c r="D174" s="27">
        <f t="shared" si="6"/>
        <v>0</v>
      </c>
      <c r="E174" s="33">
        <v>43433</v>
      </c>
      <c r="F174" s="82">
        <v>470282</v>
      </c>
      <c r="G174" s="25">
        <v>25000</v>
      </c>
      <c r="H174" s="28"/>
      <c r="I174" s="1">
        <f t="shared" si="4"/>
        <v>0</v>
      </c>
      <c r="J174" s="2"/>
      <c r="K174" s="2"/>
    </row>
    <row r="175" spans="1:11" s="76" customFormat="1" ht="27" hidden="1" customHeight="1" outlineLevel="1">
      <c r="A175" s="1"/>
      <c r="B175" s="1" t="str">
        <f t="shared" si="5"/>
        <v>250000</v>
      </c>
      <c r="C175" s="1"/>
      <c r="D175" s="27">
        <f t="shared" si="6"/>
        <v>0</v>
      </c>
      <c r="E175" s="33">
        <v>43433</v>
      </c>
      <c r="F175" s="82">
        <v>604978</v>
      </c>
      <c r="G175" s="25">
        <v>25000</v>
      </c>
      <c r="H175" s="28"/>
      <c r="I175" s="1">
        <f t="shared" si="4"/>
        <v>0</v>
      </c>
      <c r="J175" s="2"/>
      <c r="K175" s="2"/>
    </row>
    <row r="176" spans="1:11" s="76" customFormat="1" ht="27" hidden="1" customHeight="1" outlineLevel="1">
      <c r="A176" s="1"/>
      <c r="B176" s="1" t="str">
        <f t="shared" si="5"/>
        <v>250000</v>
      </c>
      <c r="C176" s="1"/>
      <c r="D176" s="27">
        <f t="shared" si="6"/>
        <v>0</v>
      </c>
      <c r="E176" s="33">
        <v>43434</v>
      </c>
      <c r="F176" s="82">
        <v>479061</v>
      </c>
      <c r="G176" s="25">
        <v>25000</v>
      </c>
      <c r="H176" s="28"/>
      <c r="I176" s="1">
        <f t="shared" si="4"/>
        <v>0</v>
      </c>
      <c r="J176" s="2"/>
      <c r="K176" s="2"/>
    </row>
    <row r="177" spans="1:11" s="76" customFormat="1" ht="27" hidden="1" customHeight="1" outlineLevel="1">
      <c r="A177" s="1"/>
      <c r="B177" s="1" t="str">
        <f t="shared" si="5"/>
        <v>250000</v>
      </c>
      <c r="C177" s="1"/>
      <c r="D177" s="27">
        <f t="shared" si="6"/>
        <v>0</v>
      </c>
      <c r="E177" s="33">
        <v>43434</v>
      </c>
      <c r="F177" s="82">
        <v>478265</v>
      </c>
      <c r="G177" s="25">
        <v>25000</v>
      </c>
      <c r="H177" s="28"/>
      <c r="I177" s="1">
        <f t="shared" si="4"/>
        <v>0</v>
      </c>
      <c r="J177" s="2"/>
      <c r="K177" s="2"/>
    </row>
    <row r="178" spans="1:11" s="76" customFormat="1" ht="27" hidden="1" customHeight="1" outlineLevel="1">
      <c r="A178" s="1"/>
      <c r="B178" s="1" t="str">
        <f t="shared" si="5"/>
        <v>250000</v>
      </c>
      <c r="C178" s="1"/>
      <c r="D178" s="27">
        <f t="shared" si="6"/>
        <v>0</v>
      </c>
      <c r="E178" s="33">
        <v>43438</v>
      </c>
      <c r="F178" s="82">
        <v>536086</v>
      </c>
      <c r="G178" s="25">
        <v>25000</v>
      </c>
      <c r="H178" s="28"/>
      <c r="I178" s="1">
        <f t="shared" si="4"/>
        <v>0</v>
      </c>
      <c r="J178" s="2"/>
      <c r="K178" s="2"/>
    </row>
    <row r="179" spans="1:11" s="76" customFormat="1" ht="27" hidden="1" customHeight="1" outlineLevel="1">
      <c r="A179" s="1"/>
      <c r="B179" s="1" t="str">
        <f t="shared" si="5"/>
        <v>250000</v>
      </c>
      <c r="C179" s="1"/>
      <c r="D179" s="27">
        <f t="shared" si="6"/>
        <v>0</v>
      </c>
      <c r="E179" s="33">
        <v>43438</v>
      </c>
      <c r="F179" s="82">
        <v>532511</v>
      </c>
      <c r="G179" s="25">
        <v>25000</v>
      </c>
      <c r="H179" s="28"/>
      <c r="I179" s="1">
        <f t="shared" si="4"/>
        <v>0</v>
      </c>
      <c r="J179" s="2"/>
      <c r="K179" s="2"/>
    </row>
    <row r="180" spans="1:11" s="76" customFormat="1" ht="27" hidden="1" customHeight="1" outlineLevel="1">
      <c r="A180" s="1"/>
      <c r="B180" s="1" t="str">
        <f t="shared" si="5"/>
        <v>250000</v>
      </c>
      <c r="C180" s="1"/>
      <c r="D180" s="27">
        <f t="shared" si="6"/>
        <v>0</v>
      </c>
      <c r="E180" s="33">
        <v>43440</v>
      </c>
      <c r="F180" s="82">
        <v>570525</v>
      </c>
      <c r="G180" s="25">
        <v>25000</v>
      </c>
      <c r="H180" s="28"/>
      <c r="I180" s="1">
        <f t="shared" si="4"/>
        <v>0</v>
      </c>
      <c r="J180" s="2"/>
      <c r="K180" s="2"/>
    </row>
    <row r="181" spans="1:11" s="76" customFormat="1" ht="27" hidden="1" customHeight="1" outlineLevel="1">
      <c r="A181" s="1"/>
      <c r="B181" s="1" t="str">
        <f t="shared" si="5"/>
        <v>250000</v>
      </c>
      <c r="C181" s="1"/>
      <c r="D181" s="27">
        <f t="shared" si="6"/>
        <v>0</v>
      </c>
      <c r="E181" s="33">
        <v>43440</v>
      </c>
      <c r="F181" s="82">
        <v>572236</v>
      </c>
      <c r="G181" s="25">
        <v>25000</v>
      </c>
      <c r="H181" s="28"/>
      <c r="I181" s="1">
        <f t="shared" si="4"/>
        <v>0</v>
      </c>
      <c r="J181" s="2"/>
      <c r="K181" s="2"/>
    </row>
    <row r="182" spans="1:11" s="76" customFormat="1" ht="27" hidden="1" customHeight="1" outlineLevel="1">
      <c r="A182" s="1"/>
      <c r="B182" s="1" t="str">
        <f t="shared" si="5"/>
        <v>250000</v>
      </c>
      <c r="C182" s="1"/>
      <c r="D182" s="27">
        <f t="shared" si="6"/>
        <v>0</v>
      </c>
      <c r="E182" s="33">
        <v>43440</v>
      </c>
      <c r="F182" s="82">
        <v>572766</v>
      </c>
      <c r="G182" s="25">
        <v>25000</v>
      </c>
      <c r="H182" s="28"/>
      <c r="I182" s="1">
        <f t="shared" si="4"/>
        <v>0</v>
      </c>
      <c r="J182" s="2"/>
      <c r="K182" s="2"/>
    </row>
    <row r="183" spans="1:11" s="76" customFormat="1" ht="27" hidden="1" customHeight="1" outlineLevel="1">
      <c r="A183" s="1"/>
      <c r="B183" s="1" t="str">
        <f t="shared" si="5"/>
        <v>250000</v>
      </c>
      <c r="C183" s="1"/>
      <c r="D183" s="27">
        <f t="shared" si="6"/>
        <v>0</v>
      </c>
      <c r="E183" s="33">
        <v>43440</v>
      </c>
      <c r="F183" s="82">
        <v>531086</v>
      </c>
      <c r="G183" s="25">
        <v>25000</v>
      </c>
      <c r="H183" s="28"/>
      <c r="I183" s="1">
        <f t="shared" si="4"/>
        <v>0</v>
      </c>
      <c r="J183" s="2"/>
      <c r="K183" s="2"/>
    </row>
    <row r="184" spans="1:11" s="76" customFormat="1" ht="27" hidden="1" customHeight="1" outlineLevel="1">
      <c r="A184" s="1"/>
      <c r="B184" s="1" t="str">
        <f t="shared" si="5"/>
        <v>250000</v>
      </c>
      <c r="C184" s="1"/>
      <c r="D184" s="27">
        <f t="shared" si="6"/>
        <v>0</v>
      </c>
      <c r="E184" s="33">
        <v>43446</v>
      </c>
      <c r="F184" s="82">
        <v>561256</v>
      </c>
      <c r="G184" s="25">
        <v>25000</v>
      </c>
      <c r="H184" s="28"/>
      <c r="I184" s="1">
        <f t="shared" si="4"/>
        <v>0</v>
      </c>
      <c r="J184" s="2"/>
      <c r="K184" s="2"/>
    </row>
    <row r="185" spans="1:11" s="76" customFormat="1" ht="27" hidden="1" customHeight="1" outlineLevel="1">
      <c r="A185" s="1"/>
      <c r="B185" s="1" t="str">
        <f t="shared" si="5"/>
        <v>250000</v>
      </c>
      <c r="C185" s="1"/>
      <c r="D185" s="27">
        <f t="shared" si="6"/>
        <v>0</v>
      </c>
      <c r="E185" s="33">
        <v>43446</v>
      </c>
      <c r="F185" s="82">
        <v>592153</v>
      </c>
      <c r="G185" s="25">
        <v>25000</v>
      </c>
      <c r="H185" s="28"/>
      <c r="I185" s="1">
        <f t="shared" si="4"/>
        <v>0</v>
      </c>
      <c r="J185" s="2"/>
      <c r="K185" s="2"/>
    </row>
    <row r="186" spans="1:11" s="76" customFormat="1" ht="27" hidden="1" customHeight="1" outlineLevel="1">
      <c r="A186" s="1"/>
      <c r="B186" s="1" t="str">
        <f t="shared" si="5"/>
        <v>250000</v>
      </c>
      <c r="C186" s="1"/>
      <c r="D186" s="27">
        <f t="shared" si="6"/>
        <v>0</v>
      </c>
      <c r="E186" s="33">
        <v>43447</v>
      </c>
      <c r="F186" s="82">
        <v>595401</v>
      </c>
      <c r="G186" s="25">
        <v>25000</v>
      </c>
      <c r="H186" s="28"/>
      <c r="I186" s="1">
        <f t="shared" si="4"/>
        <v>0</v>
      </c>
      <c r="J186" s="2"/>
      <c r="K186" s="2"/>
    </row>
    <row r="187" spans="1:11" s="76" customFormat="1" ht="27" hidden="1" customHeight="1" outlineLevel="1">
      <c r="A187" s="1"/>
      <c r="B187" s="1" t="str">
        <f t="shared" si="5"/>
        <v>250000</v>
      </c>
      <c r="C187" s="1"/>
      <c r="D187" s="27">
        <f t="shared" si="6"/>
        <v>0</v>
      </c>
      <c r="E187" s="33">
        <v>43447</v>
      </c>
      <c r="F187" s="82">
        <v>582323</v>
      </c>
      <c r="G187" s="25">
        <v>25000</v>
      </c>
      <c r="H187" s="28"/>
      <c r="I187" s="1">
        <f t="shared" si="4"/>
        <v>0</v>
      </c>
      <c r="J187" s="2"/>
      <c r="K187" s="2"/>
    </row>
    <row r="188" spans="1:11" s="76" customFormat="1" ht="27" hidden="1" customHeight="1" outlineLevel="1">
      <c r="A188" s="1"/>
      <c r="B188" s="1" t="str">
        <f t="shared" si="5"/>
        <v>250000</v>
      </c>
      <c r="C188" s="1"/>
      <c r="D188" s="27">
        <f t="shared" si="6"/>
        <v>0</v>
      </c>
      <c r="E188" s="33">
        <v>43450</v>
      </c>
      <c r="F188" s="82">
        <v>1141274</v>
      </c>
      <c r="G188" s="25">
        <v>25000</v>
      </c>
      <c r="H188" s="28"/>
      <c r="I188" s="1">
        <f t="shared" si="4"/>
        <v>0</v>
      </c>
      <c r="J188" s="2"/>
      <c r="K188" s="2"/>
    </row>
    <row r="189" spans="1:11" s="76" customFormat="1" ht="27" hidden="1" customHeight="1" outlineLevel="1">
      <c r="A189" s="1"/>
      <c r="B189" s="1" t="str">
        <f t="shared" si="5"/>
        <v>250000</v>
      </c>
      <c r="C189" s="1"/>
      <c r="D189" s="27">
        <f t="shared" si="6"/>
        <v>0</v>
      </c>
      <c r="E189" s="33">
        <v>43450</v>
      </c>
      <c r="F189" s="82">
        <v>1107886</v>
      </c>
      <c r="G189" s="25">
        <v>25000</v>
      </c>
      <c r="H189" s="28"/>
      <c r="I189" s="1">
        <f t="shared" si="4"/>
        <v>0</v>
      </c>
      <c r="J189" s="2"/>
      <c r="K189" s="2"/>
    </row>
    <row r="190" spans="1:11" s="76" customFormat="1" ht="27" hidden="1" customHeight="1" outlineLevel="1">
      <c r="A190" s="1"/>
      <c r="B190" s="1" t="str">
        <f t="shared" si="5"/>
        <v>250000</v>
      </c>
      <c r="C190" s="1"/>
      <c r="D190" s="27">
        <f t="shared" si="6"/>
        <v>0</v>
      </c>
      <c r="E190" s="33">
        <v>43454</v>
      </c>
      <c r="F190" s="82">
        <v>1445353</v>
      </c>
      <c r="G190" s="25">
        <v>25000</v>
      </c>
      <c r="H190" s="28"/>
      <c r="I190" s="1">
        <f t="shared" si="4"/>
        <v>0</v>
      </c>
      <c r="J190" s="2"/>
      <c r="K190" s="2"/>
    </row>
    <row r="191" spans="1:11" s="76" customFormat="1" ht="27" hidden="1" customHeight="1" outlineLevel="1">
      <c r="A191" s="1"/>
      <c r="B191" s="1" t="str">
        <f t="shared" si="5"/>
        <v>250000</v>
      </c>
      <c r="C191" s="1"/>
      <c r="D191" s="27">
        <f t="shared" si="6"/>
        <v>0</v>
      </c>
      <c r="E191" s="33">
        <v>43454</v>
      </c>
      <c r="F191" s="82">
        <v>1196967</v>
      </c>
      <c r="G191" s="25">
        <v>25000</v>
      </c>
      <c r="H191" s="28"/>
      <c r="I191" s="1">
        <f t="shared" si="4"/>
        <v>0</v>
      </c>
      <c r="J191" s="2"/>
      <c r="K191" s="2"/>
    </row>
    <row r="192" spans="1:11" s="76" customFormat="1" ht="27" hidden="1" customHeight="1" outlineLevel="1">
      <c r="A192" s="1"/>
      <c r="B192" s="1" t="str">
        <f t="shared" si="5"/>
        <v>250000</v>
      </c>
      <c r="C192" s="1"/>
      <c r="D192" s="27">
        <f t="shared" si="6"/>
        <v>0</v>
      </c>
      <c r="E192" s="33">
        <v>43455</v>
      </c>
      <c r="F192" s="82">
        <v>1195336</v>
      </c>
      <c r="G192" s="25">
        <v>25000</v>
      </c>
      <c r="H192" s="28"/>
      <c r="I192" s="1">
        <f t="shared" si="4"/>
        <v>0</v>
      </c>
      <c r="J192" s="2"/>
      <c r="K192" s="2"/>
    </row>
    <row r="193" spans="1:11" s="76" customFormat="1" ht="27" hidden="1" customHeight="1" outlineLevel="1">
      <c r="A193" s="1"/>
      <c r="B193" s="1" t="str">
        <f t="shared" si="5"/>
        <v>250000</v>
      </c>
      <c r="C193" s="1"/>
      <c r="D193" s="27">
        <f t="shared" si="6"/>
        <v>0</v>
      </c>
      <c r="E193" s="33">
        <v>43455</v>
      </c>
      <c r="F193" s="82">
        <v>1193580</v>
      </c>
      <c r="G193" s="25">
        <v>25000</v>
      </c>
      <c r="H193" s="28"/>
      <c r="I193" s="1">
        <f t="shared" si="4"/>
        <v>0</v>
      </c>
      <c r="J193" s="2"/>
      <c r="K193" s="2"/>
    </row>
    <row r="194" spans="1:11" s="76" customFormat="1" ht="27" hidden="1" customHeight="1" outlineLevel="1">
      <c r="A194" s="1"/>
      <c r="B194" s="1" t="str">
        <f t="shared" si="5"/>
        <v>250000</v>
      </c>
      <c r="C194" s="1"/>
      <c r="D194" s="27">
        <f t="shared" si="6"/>
        <v>0</v>
      </c>
      <c r="E194" s="33"/>
      <c r="F194" s="82">
        <v>1153861</v>
      </c>
      <c r="G194" s="25">
        <v>25000</v>
      </c>
      <c r="H194" s="28"/>
      <c r="I194" s="1">
        <f t="shared" si="4"/>
        <v>0</v>
      </c>
      <c r="J194" s="2"/>
      <c r="K194" s="2"/>
    </row>
    <row r="195" spans="1:11" s="76" customFormat="1" ht="27" hidden="1" customHeight="1" outlineLevel="1">
      <c r="A195" s="1"/>
      <c r="B195" s="1" t="str">
        <f t="shared" si="5"/>
        <v>250000</v>
      </c>
      <c r="C195" s="1"/>
      <c r="D195" s="27">
        <f t="shared" si="6"/>
        <v>0</v>
      </c>
      <c r="E195" s="33"/>
      <c r="F195" s="82">
        <v>1182104</v>
      </c>
      <c r="G195" s="25">
        <v>25000</v>
      </c>
      <c r="H195" s="28"/>
      <c r="I195" s="1">
        <f t="shared" si="4"/>
        <v>0</v>
      </c>
      <c r="J195" s="2"/>
      <c r="K195" s="2"/>
    </row>
    <row r="196" spans="1:11" s="76" customFormat="1" ht="27" hidden="1" customHeight="1" outlineLevel="1">
      <c r="A196" s="1">
        <v>2169</v>
      </c>
      <c r="B196" s="1" t="str">
        <f t="shared" si="5"/>
        <v>250000</v>
      </c>
      <c r="C196" s="1"/>
      <c r="D196" s="27">
        <f t="shared" si="6"/>
        <v>0</v>
      </c>
      <c r="E196" s="33">
        <v>43474</v>
      </c>
      <c r="F196" s="82">
        <v>688163</v>
      </c>
      <c r="G196" s="25">
        <v>25000</v>
      </c>
      <c r="H196" s="28"/>
      <c r="I196" s="1">
        <f t="shared" si="4"/>
        <v>0</v>
      </c>
      <c r="J196" s="2"/>
      <c r="K196" s="2"/>
    </row>
    <row r="197" spans="1:11" s="76" customFormat="1" ht="27" hidden="1" customHeight="1" outlineLevel="1">
      <c r="A197" s="1">
        <v>2169</v>
      </c>
      <c r="B197" s="1" t="str">
        <f t="shared" si="5"/>
        <v>250000</v>
      </c>
      <c r="C197" s="1"/>
      <c r="D197" s="27">
        <f t="shared" si="6"/>
        <v>0</v>
      </c>
      <c r="E197" s="33">
        <v>43474</v>
      </c>
      <c r="F197" s="82">
        <v>684298</v>
      </c>
      <c r="G197" s="25">
        <v>25000</v>
      </c>
      <c r="H197" s="28"/>
      <c r="I197" s="1">
        <f t="shared" si="4"/>
        <v>0</v>
      </c>
      <c r="J197" s="2"/>
      <c r="K197" s="2"/>
    </row>
    <row r="198" spans="1:11" s="76" customFormat="1" ht="27" hidden="1" customHeight="1" outlineLevel="1">
      <c r="A198" s="1">
        <v>2169</v>
      </c>
      <c r="B198" s="1" t="str">
        <f t="shared" si="5"/>
        <v>250000</v>
      </c>
      <c r="C198" s="1"/>
      <c r="D198" s="27">
        <f t="shared" si="6"/>
        <v>0</v>
      </c>
      <c r="E198" s="33">
        <v>43497</v>
      </c>
      <c r="F198" s="82">
        <v>1125673</v>
      </c>
      <c r="G198" s="25">
        <v>25000</v>
      </c>
      <c r="H198" s="28"/>
      <c r="I198" s="1">
        <f t="shared" si="4"/>
        <v>0</v>
      </c>
      <c r="J198" s="2"/>
      <c r="K198" s="2"/>
    </row>
    <row r="199" spans="1:11" s="76" customFormat="1" ht="27" hidden="1" customHeight="1" outlineLevel="1">
      <c r="A199" s="1">
        <v>2169</v>
      </c>
      <c r="B199" s="1" t="str">
        <f t="shared" si="5"/>
        <v>250000</v>
      </c>
      <c r="C199" s="1"/>
      <c r="D199" s="27">
        <f t="shared" si="6"/>
        <v>0</v>
      </c>
      <c r="E199" s="33">
        <v>43497</v>
      </c>
      <c r="F199" s="82">
        <v>1283304</v>
      </c>
      <c r="G199" s="25">
        <v>25000</v>
      </c>
      <c r="H199" s="28"/>
      <c r="I199" s="1">
        <f t="shared" si="4"/>
        <v>0</v>
      </c>
      <c r="J199" s="2"/>
      <c r="K199" s="2"/>
    </row>
    <row r="200" spans="1:11" s="76" customFormat="1" ht="27" hidden="1" customHeight="1" outlineLevel="1">
      <c r="A200" s="1">
        <v>2169</v>
      </c>
      <c r="B200" s="1" t="str">
        <f t="shared" si="5"/>
        <v>250000</v>
      </c>
      <c r="C200" s="1"/>
      <c r="D200" s="27">
        <f t="shared" si="6"/>
        <v>0</v>
      </c>
      <c r="E200" s="33">
        <v>43523</v>
      </c>
      <c r="F200" s="82">
        <v>1325478</v>
      </c>
      <c r="G200" s="25">
        <v>25000</v>
      </c>
      <c r="H200" s="28"/>
      <c r="I200" s="1">
        <f t="shared" si="4"/>
        <v>0</v>
      </c>
      <c r="J200" s="2"/>
      <c r="K200" s="2"/>
    </row>
    <row r="201" spans="1:11" s="76" customFormat="1" ht="27" hidden="1" customHeight="1" outlineLevel="1">
      <c r="A201" s="1">
        <v>2169</v>
      </c>
      <c r="B201" s="1" t="str">
        <f t="shared" si="5"/>
        <v>250000</v>
      </c>
      <c r="C201" s="1"/>
      <c r="D201" s="27">
        <f t="shared" si="6"/>
        <v>0</v>
      </c>
      <c r="E201" s="33">
        <v>43523</v>
      </c>
      <c r="F201" s="82">
        <v>1306496</v>
      </c>
      <c r="G201" s="25">
        <v>25000</v>
      </c>
      <c r="H201" s="28"/>
      <c r="I201" s="1">
        <f t="shared" ref="I201:I264" si="7">IF(AND(E201&gt;=$J$6,E201&lt;=$K$6,A201=$I$6),1,0)</f>
        <v>0</v>
      </c>
      <c r="J201" s="2"/>
      <c r="K201" s="2"/>
    </row>
    <row r="202" spans="1:11" s="76" customFormat="1" ht="27" hidden="1" customHeight="1" outlineLevel="1">
      <c r="A202" s="1">
        <v>2638</v>
      </c>
      <c r="B202" s="1" t="str">
        <f t="shared" si="5"/>
        <v>250000</v>
      </c>
      <c r="C202" s="1"/>
      <c r="D202" s="27">
        <f t="shared" si="6"/>
        <v>0</v>
      </c>
      <c r="E202" s="33">
        <v>43472</v>
      </c>
      <c r="F202" s="82">
        <v>62136</v>
      </c>
      <c r="G202" s="25">
        <v>25000</v>
      </c>
      <c r="H202" s="28"/>
      <c r="I202" s="1">
        <f t="shared" si="7"/>
        <v>0</v>
      </c>
      <c r="J202" s="2"/>
      <c r="K202" s="2"/>
    </row>
    <row r="203" spans="1:11" s="76" customFormat="1" ht="27" hidden="1" customHeight="1" outlineLevel="1">
      <c r="A203" s="1">
        <f>A202</f>
        <v>2638</v>
      </c>
      <c r="B203" s="1" t="str">
        <f t="shared" si="5"/>
        <v>250000</v>
      </c>
      <c r="C203" s="1"/>
      <c r="D203" s="27">
        <f t="shared" si="6"/>
        <v>0</v>
      </c>
      <c r="E203" s="33">
        <v>43472</v>
      </c>
      <c r="F203" s="82">
        <v>623775</v>
      </c>
      <c r="G203" s="25">
        <v>25000</v>
      </c>
      <c r="H203" s="28"/>
      <c r="I203" s="1">
        <f t="shared" si="7"/>
        <v>0</v>
      </c>
      <c r="J203" s="2"/>
      <c r="K203" s="2"/>
    </row>
    <row r="204" spans="1:11" s="76" customFormat="1" ht="27" hidden="1" customHeight="1" outlineLevel="1">
      <c r="A204" s="1">
        <f t="shared" ref="A204:A267" si="8">A203</f>
        <v>2638</v>
      </c>
      <c r="B204" s="1" t="str">
        <f t="shared" si="5"/>
        <v>250000</v>
      </c>
      <c r="C204" s="1"/>
      <c r="D204" s="27">
        <f t="shared" si="6"/>
        <v>0</v>
      </c>
      <c r="E204" s="33">
        <v>43474</v>
      </c>
      <c r="F204" s="82">
        <v>684731</v>
      </c>
      <c r="G204" s="25">
        <v>25000</v>
      </c>
      <c r="H204" s="28"/>
      <c r="I204" s="1">
        <f t="shared" si="7"/>
        <v>0</v>
      </c>
      <c r="J204" s="2"/>
      <c r="K204" s="2"/>
    </row>
    <row r="205" spans="1:11" s="76" customFormat="1" ht="27" hidden="1" customHeight="1" outlineLevel="1">
      <c r="A205" s="1">
        <f t="shared" si="8"/>
        <v>2638</v>
      </c>
      <c r="B205" s="1" t="str">
        <f t="shared" si="5"/>
        <v>250000</v>
      </c>
      <c r="C205" s="1"/>
      <c r="D205" s="27">
        <f t="shared" si="6"/>
        <v>0</v>
      </c>
      <c r="E205" s="33">
        <v>43474</v>
      </c>
      <c r="F205" s="82">
        <v>634376</v>
      </c>
      <c r="G205" s="25">
        <v>25000</v>
      </c>
      <c r="H205" s="28"/>
      <c r="I205" s="1">
        <f t="shared" si="7"/>
        <v>0</v>
      </c>
      <c r="J205" s="2"/>
      <c r="K205" s="2"/>
    </row>
    <row r="206" spans="1:11" s="76" customFormat="1" ht="27" hidden="1" customHeight="1" outlineLevel="1">
      <c r="A206" s="1">
        <f t="shared" si="8"/>
        <v>2638</v>
      </c>
      <c r="B206" s="1" t="str">
        <f t="shared" si="5"/>
        <v>250000</v>
      </c>
      <c r="C206" s="1"/>
      <c r="D206" s="27">
        <f t="shared" si="6"/>
        <v>0</v>
      </c>
      <c r="E206" s="33">
        <v>43482</v>
      </c>
      <c r="F206" s="82">
        <v>614889</v>
      </c>
      <c r="G206" s="25">
        <v>25000</v>
      </c>
      <c r="H206" s="28"/>
      <c r="I206" s="1">
        <f t="shared" si="7"/>
        <v>0</v>
      </c>
      <c r="J206" s="2"/>
      <c r="K206" s="2"/>
    </row>
    <row r="207" spans="1:11" s="76" customFormat="1" ht="27" hidden="1" customHeight="1" outlineLevel="1">
      <c r="A207" s="1">
        <f t="shared" si="8"/>
        <v>2638</v>
      </c>
      <c r="B207" s="1" t="str">
        <f t="shared" si="5"/>
        <v>250000</v>
      </c>
      <c r="C207" s="1"/>
      <c r="D207" s="27">
        <f t="shared" si="6"/>
        <v>0</v>
      </c>
      <c r="E207" s="33">
        <v>43482</v>
      </c>
      <c r="F207" s="82">
        <v>648657</v>
      </c>
      <c r="G207" s="25">
        <v>25000</v>
      </c>
      <c r="H207" s="28"/>
      <c r="I207" s="1">
        <f t="shared" si="7"/>
        <v>0</v>
      </c>
      <c r="J207" s="2"/>
      <c r="K207" s="2"/>
    </row>
    <row r="208" spans="1:11" s="76" customFormat="1" ht="27" hidden="1" customHeight="1" outlineLevel="1">
      <c r="A208" s="1">
        <f t="shared" si="8"/>
        <v>2638</v>
      </c>
      <c r="B208" s="1" t="str">
        <f t="shared" si="5"/>
        <v>250000</v>
      </c>
      <c r="C208" s="1"/>
      <c r="D208" s="27">
        <f t="shared" si="6"/>
        <v>0</v>
      </c>
      <c r="E208" s="33">
        <v>43483</v>
      </c>
      <c r="F208" s="82">
        <v>616940</v>
      </c>
      <c r="G208" s="25">
        <v>25000</v>
      </c>
      <c r="H208" s="28"/>
      <c r="I208" s="1">
        <f t="shared" si="7"/>
        <v>0</v>
      </c>
      <c r="J208" s="2"/>
      <c r="K208" s="2"/>
    </row>
    <row r="209" spans="1:11" s="76" customFormat="1" ht="27" hidden="1" customHeight="1" outlineLevel="1">
      <c r="A209" s="1">
        <f t="shared" si="8"/>
        <v>2638</v>
      </c>
      <c r="B209" s="1" t="str">
        <f t="shared" si="5"/>
        <v>250000</v>
      </c>
      <c r="C209" s="1"/>
      <c r="D209" s="27">
        <f t="shared" si="6"/>
        <v>0</v>
      </c>
      <c r="E209" s="33">
        <v>43483</v>
      </c>
      <c r="F209" s="82">
        <v>613857</v>
      </c>
      <c r="G209" s="25">
        <v>25000</v>
      </c>
      <c r="H209" s="28"/>
      <c r="I209" s="1">
        <f t="shared" si="7"/>
        <v>0</v>
      </c>
      <c r="J209" s="2"/>
      <c r="K209" s="2"/>
    </row>
    <row r="210" spans="1:11" s="76" customFormat="1" ht="27" hidden="1" customHeight="1" outlineLevel="1">
      <c r="A210" s="1">
        <f t="shared" si="8"/>
        <v>2638</v>
      </c>
      <c r="B210" s="1" t="str">
        <f t="shared" si="5"/>
        <v>250000</v>
      </c>
      <c r="C210" s="1"/>
      <c r="D210" s="27">
        <f t="shared" si="6"/>
        <v>0</v>
      </c>
      <c r="E210" s="33">
        <v>43489</v>
      </c>
      <c r="F210" s="82">
        <v>1239887</v>
      </c>
      <c r="G210" s="25">
        <v>25000</v>
      </c>
      <c r="H210" s="28"/>
      <c r="I210" s="1">
        <f t="shared" si="7"/>
        <v>0</v>
      </c>
      <c r="J210" s="2"/>
      <c r="K210" s="2"/>
    </row>
    <row r="211" spans="1:11" s="76" customFormat="1" ht="27" hidden="1" customHeight="1" outlineLevel="1">
      <c r="A211" s="1">
        <f t="shared" si="8"/>
        <v>2638</v>
      </c>
      <c r="B211" s="1" t="str">
        <f t="shared" si="5"/>
        <v>250000</v>
      </c>
      <c r="C211" s="1"/>
      <c r="D211" s="27">
        <f t="shared" si="6"/>
        <v>0</v>
      </c>
      <c r="E211" s="33">
        <v>43489</v>
      </c>
      <c r="F211" s="82">
        <v>1240459</v>
      </c>
      <c r="G211" s="25">
        <v>25000</v>
      </c>
      <c r="H211" s="28"/>
      <c r="I211" s="1">
        <f t="shared" si="7"/>
        <v>0</v>
      </c>
      <c r="J211" s="2"/>
      <c r="K211" s="2"/>
    </row>
    <row r="212" spans="1:11" s="76" customFormat="1" ht="27" hidden="1" customHeight="1" outlineLevel="1">
      <c r="A212" s="1">
        <f t="shared" si="8"/>
        <v>2638</v>
      </c>
      <c r="B212" s="1" t="str">
        <f t="shared" si="5"/>
        <v>250000</v>
      </c>
      <c r="C212" s="1"/>
      <c r="D212" s="27">
        <f t="shared" si="6"/>
        <v>0</v>
      </c>
      <c r="E212" s="33">
        <v>43490</v>
      </c>
      <c r="F212" s="82">
        <v>1246441</v>
      </c>
      <c r="G212" s="25">
        <v>25000</v>
      </c>
      <c r="H212" s="28"/>
      <c r="I212" s="1">
        <f t="shared" si="7"/>
        <v>0</v>
      </c>
      <c r="J212" s="2"/>
      <c r="K212" s="2"/>
    </row>
    <row r="213" spans="1:11" s="76" customFormat="1" ht="27" hidden="1" customHeight="1" outlineLevel="1">
      <c r="A213" s="1">
        <f t="shared" si="8"/>
        <v>2638</v>
      </c>
      <c r="B213" s="1" t="str">
        <f t="shared" si="5"/>
        <v>250000</v>
      </c>
      <c r="C213" s="1"/>
      <c r="D213" s="27">
        <f t="shared" si="6"/>
        <v>0</v>
      </c>
      <c r="E213" s="33">
        <v>43490</v>
      </c>
      <c r="F213" s="82">
        <v>1239555</v>
      </c>
      <c r="G213" s="25">
        <v>25000</v>
      </c>
      <c r="H213" s="28"/>
      <c r="I213" s="1">
        <f t="shared" si="7"/>
        <v>0</v>
      </c>
      <c r="J213" s="2"/>
      <c r="K213" s="2"/>
    </row>
    <row r="214" spans="1:11" s="76" customFormat="1" ht="27" hidden="1" customHeight="1" outlineLevel="1">
      <c r="A214" s="1">
        <f t="shared" si="8"/>
        <v>2638</v>
      </c>
      <c r="B214" s="1" t="str">
        <f t="shared" si="5"/>
        <v>250000</v>
      </c>
      <c r="C214" s="1"/>
      <c r="D214" s="27">
        <f t="shared" si="6"/>
        <v>0</v>
      </c>
      <c r="E214" s="33">
        <v>43493</v>
      </c>
      <c r="F214" s="82">
        <v>1296128</v>
      </c>
      <c r="G214" s="25">
        <v>25000</v>
      </c>
      <c r="H214" s="28"/>
      <c r="I214" s="1">
        <f t="shared" si="7"/>
        <v>0</v>
      </c>
      <c r="J214" s="2"/>
      <c r="K214" s="2"/>
    </row>
    <row r="215" spans="1:11" s="76" customFormat="1" ht="27" hidden="1" customHeight="1" outlineLevel="1">
      <c r="A215" s="1">
        <f t="shared" si="8"/>
        <v>2638</v>
      </c>
      <c r="B215" s="1" t="str">
        <f t="shared" si="5"/>
        <v>250000</v>
      </c>
      <c r="C215" s="1"/>
      <c r="D215" s="27">
        <f t="shared" si="6"/>
        <v>0</v>
      </c>
      <c r="E215" s="33">
        <v>43493</v>
      </c>
      <c r="F215" s="82">
        <v>1294117</v>
      </c>
      <c r="G215" s="25">
        <v>25000</v>
      </c>
      <c r="H215" s="28"/>
      <c r="I215" s="1">
        <f t="shared" si="7"/>
        <v>0</v>
      </c>
      <c r="J215" s="2"/>
      <c r="K215" s="2"/>
    </row>
    <row r="216" spans="1:11" s="76" customFormat="1" ht="27" hidden="1" customHeight="1" outlineLevel="1">
      <c r="A216" s="1">
        <f t="shared" si="8"/>
        <v>2638</v>
      </c>
      <c r="B216" s="1" t="str">
        <f t="shared" si="5"/>
        <v>250000</v>
      </c>
      <c r="C216" s="1"/>
      <c r="D216" s="27">
        <f t="shared" si="6"/>
        <v>0</v>
      </c>
      <c r="E216" s="33">
        <v>43496</v>
      </c>
      <c r="F216" s="82">
        <v>1289338</v>
      </c>
      <c r="G216" s="25">
        <v>25000</v>
      </c>
      <c r="H216" s="28"/>
      <c r="I216" s="1">
        <f t="shared" si="7"/>
        <v>0</v>
      </c>
      <c r="J216" s="2"/>
      <c r="K216" s="2"/>
    </row>
    <row r="217" spans="1:11" s="76" customFormat="1" ht="27" hidden="1" customHeight="1" outlineLevel="1">
      <c r="A217" s="1">
        <f t="shared" si="8"/>
        <v>2638</v>
      </c>
      <c r="B217" s="1" t="str">
        <f t="shared" si="5"/>
        <v>250000</v>
      </c>
      <c r="C217" s="1"/>
      <c r="D217" s="27">
        <f t="shared" si="6"/>
        <v>0</v>
      </c>
      <c r="E217" s="33">
        <v>43496</v>
      </c>
      <c r="F217" s="82">
        <v>1281186</v>
      </c>
      <c r="G217" s="25">
        <v>25000</v>
      </c>
      <c r="H217" s="28"/>
      <c r="I217" s="1">
        <f t="shared" si="7"/>
        <v>0</v>
      </c>
      <c r="J217" s="2"/>
      <c r="K217" s="2"/>
    </row>
    <row r="218" spans="1:11" s="76" customFormat="1" ht="27" hidden="1" customHeight="1" outlineLevel="1">
      <c r="A218" s="1">
        <f t="shared" si="8"/>
        <v>2638</v>
      </c>
      <c r="B218" s="1" t="str">
        <f t="shared" si="5"/>
        <v>250000</v>
      </c>
      <c r="C218" s="1"/>
      <c r="D218" s="27">
        <f t="shared" si="6"/>
        <v>0</v>
      </c>
      <c r="E218" s="33">
        <v>43511</v>
      </c>
      <c r="F218" s="82">
        <v>1376391</v>
      </c>
      <c r="G218" s="25">
        <v>25000</v>
      </c>
      <c r="H218" s="28"/>
      <c r="I218" s="1">
        <f t="shared" si="7"/>
        <v>0</v>
      </c>
      <c r="J218" s="2"/>
      <c r="K218" s="2"/>
    </row>
    <row r="219" spans="1:11" s="76" customFormat="1" ht="27" hidden="1" customHeight="1" outlineLevel="1">
      <c r="A219" s="1">
        <f t="shared" si="8"/>
        <v>2638</v>
      </c>
      <c r="B219" s="1" t="str">
        <f t="shared" si="5"/>
        <v>250000</v>
      </c>
      <c r="C219" s="1"/>
      <c r="D219" s="27">
        <f t="shared" si="6"/>
        <v>0</v>
      </c>
      <c r="E219" s="33">
        <v>43511</v>
      </c>
      <c r="F219" s="82">
        <v>1163678</v>
      </c>
      <c r="G219" s="25">
        <v>25000</v>
      </c>
      <c r="H219" s="28"/>
      <c r="I219" s="1">
        <f t="shared" si="7"/>
        <v>0</v>
      </c>
      <c r="J219" s="2"/>
      <c r="K219" s="2"/>
    </row>
    <row r="220" spans="1:11" s="76" customFormat="1" ht="27" hidden="1" customHeight="1" outlineLevel="1">
      <c r="A220" s="1">
        <f t="shared" si="8"/>
        <v>2638</v>
      </c>
      <c r="B220" s="1" t="str">
        <f t="shared" si="5"/>
        <v>250000</v>
      </c>
      <c r="C220" s="1"/>
      <c r="D220" s="27">
        <f t="shared" si="6"/>
        <v>0</v>
      </c>
      <c r="E220" s="33">
        <v>43518</v>
      </c>
      <c r="F220" s="82">
        <v>1387527</v>
      </c>
      <c r="G220" s="25">
        <v>25000</v>
      </c>
      <c r="H220" s="28"/>
      <c r="I220" s="1">
        <f t="shared" si="7"/>
        <v>0</v>
      </c>
      <c r="J220" s="2"/>
      <c r="K220" s="2"/>
    </row>
    <row r="221" spans="1:11" s="76" customFormat="1" ht="27" hidden="1" customHeight="1" outlineLevel="1">
      <c r="A221" s="1">
        <f t="shared" si="8"/>
        <v>2638</v>
      </c>
      <c r="B221" s="1" t="str">
        <f t="shared" si="5"/>
        <v>250000</v>
      </c>
      <c r="C221" s="1"/>
      <c r="D221" s="27">
        <f t="shared" si="6"/>
        <v>0</v>
      </c>
      <c r="E221" s="33">
        <v>43518</v>
      </c>
      <c r="F221" s="82">
        <v>1360295</v>
      </c>
      <c r="G221" s="25">
        <v>25000</v>
      </c>
      <c r="H221" s="28"/>
      <c r="I221" s="1">
        <f t="shared" si="7"/>
        <v>0</v>
      </c>
      <c r="J221" s="2"/>
      <c r="K221" s="2"/>
    </row>
    <row r="222" spans="1:11" s="76" customFormat="1" ht="27" hidden="1" customHeight="1" outlineLevel="1">
      <c r="A222" s="1">
        <f t="shared" si="8"/>
        <v>2638</v>
      </c>
      <c r="B222" s="1" t="str">
        <f t="shared" si="5"/>
        <v>250000</v>
      </c>
      <c r="C222" s="1"/>
      <c r="D222" s="27">
        <f t="shared" si="6"/>
        <v>0</v>
      </c>
      <c r="E222" s="33">
        <v>43522</v>
      </c>
      <c r="F222" s="82">
        <v>777574</v>
      </c>
      <c r="G222" s="25">
        <v>25000</v>
      </c>
      <c r="H222" s="28"/>
      <c r="I222" s="1">
        <f t="shared" si="7"/>
        <v>0</v>
      </c>
      <c r="J222" s="2"/>
      <c r="K222" s="2"/>
    </row>
    <row r="223" spans="1:11" s="76" customFormat="1" ht="27" hidden="1" customHeight="1" outlineLevel="1">
      <c r="A223" s="1">
        <f t="shared" si="8"/>
        <v>2638</v>
      </c>
      <c r="B223" s="1" t="str">
        <f t="shared" si="5"/>
        <v>250000</v>
      </c>
      <c r="C223" s="1"/>
      <c r="D223" s="27">
        <f t="shared" si="6"/>
        <v>0</v>
      </c>
      <c r="E223" s="33">
        <v>43522</v>
      </c>
      <c r="F223" s="82">
        <v>1329605</v>
      </c>
      <c r="G223" s="25">
        <v>25000</v>
      </c>
      <c r="H223" s="28"/>
      <c r="I223" s="1">
        <f t="shared" si="7"/>
        <v>0</v>
      </c>
      <c r="J223" s="2"/>
      <c r="K223" s="2"/>
    </row>
    <row r="224" spans="1:11" s="76" customFormat="1" ht="27" hidden="1" customHeight="1" outlineLevel="1">
      <c r="A224" s="1">
        <f t="shared" si="8"/>
        <v>2638</v>
      </c>
      <c r="B224" s="1" t="str">
        <f t="shared" si="5"/>
        <v>250000</v>
      </c>
      <c r="C224" s="1"/>
      <c r="D224" s="27">
        <f t="shared" si="6"/>
        <v>0</v>
      </c>
      <c r="E224" s="33">
        <v>43525</v>
      </c>
      <c r="F224" s="82">
        <v>1307673</v>
      </c>
      <c r="G224" s="25">
        <v>25000</v>
      </c>
      <c r="H224" s="28"/>
      <c r="I224" s="1">
        <f t="shared" si="7"/>
        <v>0</v>
      </c>
      <c r="J224" s="2"/>
      <c r="K224" s="2"/>
    </row>
    <row r="225" spans="1:11" s="76" customFormat="1" ht="27" hidden="1" customHeight="1" outlineLevel="1">
      <c r="A225" s="1">
        <f t="shared" si="8"/>
        <v>2638</v>
      </c>
      <c r="B225" s="1" t="str">
        <f t="shared" si="5"/>
        <v>250000</v>
      </c>
      <c r="C225" s="1"/>
      <c r="D225" s="27">
        <f t="shared" si="6"/>
        <v>0</v>
      </c>
      <c r="E225" s="33">
        <v>43525</v>
      </c>
      <c r="F225" s="82">
        <v>1305863</v>
      </c>
      <c r="G225" s="25">
        <v>25000</v>
      </c>
      <c r="H225" s="28"/>
      <c r="I225" s="1">
        <f t="shared" si="7"/>
        <v>0</v>
      </c>
      <c r="J225" s="2"/>
      <c r="K225" s="2"/>
    </row>
    <row r="226" spans="1:11" s="76" customFormat="1" ht="27" hidden="1" customHeight="1" outlineLevel="1">
      <c r="A226" s="1">
        <f t="shared" si="8"/>
        <v>2638</v>
      </c>
      <c r="B226" s="1" t="str">
        <f t="shared" si="5"/>
        <v>250000</v>
      </c>
      <c r="C226" s="1"/>
      <c r="D226" s="27">
        <f t="shared" si="6"/>
        <v>0</v>
      </c>
      <c r="E226" s="33">
        <v>43529</v>
      </c>
      <c r="F226" s="82">
        <v>734654</v>
      </c>
      <c r="G226" s="25">
        <v>25000</v>
      </c>
      <c r="H226" s="28"/>
      <c r="I226" s="1">
        <f t="shared" si="7"/>
        <v>0</v>
      </c>
      <c r="J226" s="2"/>
      <c r="K226" s="2"/>
    </row>
    <row r="227" spans="1:11" s="76" customFormat="1" ht="27" hidden="1" customHeight="1" outlineLevel="1">
      <c r="A227" s="1">
        <f t="shared" si="8"/>
        <v>2638</v>
      </c>
      <c r="B227" s="1" t="str">
        <f t="shared" si="5"/>
        <v>250000</v>
      </c>
      <c r="C227" s="1"/>
      <c r="D227" s="27">
        <f t="shared" si="6"/>
        <v>0</v>
      </c>
      <c r="E227" s="33">
        <v>43529</v>
      </c>
      <c r="F227" s="82">
        <v>733953</v>
      </c>
      <c r="G227" s="25">
        <v>25000</v>
      </c>
      <c r="H227" s="28"/>
      <c r="I227" s="1">
        <f t="shared" si="7"/>
        <v>0</v>
      </c>
      <c r="J227" s="2"/>
      <c r="K227" s="2"/>
    </row>
    <row r="228" spans="1:11" s="76" customFormat="1" ht="27" hidden="1" customHeight="1" outlineLevel="1">
      <c r="A228" s="1">
        <f t="shared" si="8"/>
        <v>2638</v>
      </c>
      <c r="B228" s="1" t="str">
        <f t="shared" si="5"/>
        <v>250000</v>
      </c>
      <c r="C228" s="1"/>
      <c r="D228" s="27">
        <f t="shared" si="6"/>
        <v>0</v>
      </c>
      <c r="E228" s="33">
        <v>43530</v>
      </c>
      <c r="F228" s="82">
        <v>1339258</v>
      </c>
      <c r="G228" s="25">
        <v>25000</v>
      </c>
      <c r="H228" s="28"/>
      <c r="I228" s="1">
        <f t="shared" si="7"/>
        <v>0</v>
      </c>
      <c r="J228" s="2"/>
      <c r="K228" s="2"/>
    </row>
    <row r="229" spans="1:11" s="76" customFormat="1" ht="27" hidden="1" customHeight="1" outlineLevel="1">
      <c r="A229" s="1">
        <f t="shared" si="8"/>
        <v>2638</v>
      </c>
      <c r="B229" s="1" t="str">
        <f t="shared" si="5"/>
        <v>250000</v>
      </c>
      <c r="C229" s="1"/>
      <c r="D229" s="27">
        <f t="shared" si="6"/>
        <v>0</v>
      </c>
      <c r="E229" s="33">
        <v>43530</v>
      </c>
      <c r="F229" s="82">
        <v>1346400</v>
      </c>
      <c r="G229" s="25">
        <v>25000</v>
      </c>
      <c r="H229" s="28"/>
      <c r="I229" s="1">
        <f t="shared" si="7"/>
        <v>0</v>
      </c>
      <c r="J229" s="2"/>
      <c r="K229" s="2"/>
    </row>
    <row r="230" spans="1:11" s="76" customFormat="1" ht="27" hidden="1" customHeight="1" outlineLevel="1">
      <c r="A230" s="1">
        <f t="shared" si="8"/>
        <v>2638</v>
      </c>
      <c r="B230" s="1" t="str">
        <f t="shared" si="5"/>
        <v>250000</v>
      </c>
      <c r="C230" s="1"/>
      <c r="D230" s="27">
        <f t="shared" si="6"/>
        <v>0</v>
      </c>
      <c r="E230" s="33">
        <v>43531</v>
      </c>
      <c r="F230" s="82">
        <v>703091</v>
      </c>
      <c r="G230" s="25">
        <v>25000</v>
      </c>
      <c r="H230" s="28"/>
      <c r="I230" s="1">
        <f t="shared" si="7"/>
        <v>0</v>
      </c>
      <c r="J230" s="2"/>
      <c r="K230" s="2"/>
    </row>
    <row r="231" spans="1:11" s="76" customFormat="1" ht="27" hidden="1" customHeight="1" outlineLevel="1">
      <c r="A231" s="1">
        <f t="shared" si="8"/>
        <v>2638</v>
      </c>
      <c r="B231" s="1" t="str">
        <f t="shared" si="5"/>
        <v>250000</v>
      </c>
      <c r="C231" s="1"/>
      <c r="D231" s="27">
        <f t="shared" si="6"/>
        <v>0</v>
      </c>
      <c r="E231" s="33">
        <v>43531</v>
      </c>
      <c r="F231" s="82">
        <v>705987</v>
      </c>
      <c r="G231" s="25">
        <v>25000</v>
      </c>
      <c r="H231" s="28"/>
      <c r="I231" s="1">
        <f t="shared" si="7"/>
        <v>0</v>
      </c>
      <c r="J231" s="2"/>
      <c r="K231" s="2"/>
    </row>
    <row r="232" spans="1:11" s="76" customFormat="1" ht="27" hidden="1" customHeight="1" outlineLevel="1">
      <c r="A232" s="1">
        <f t="shared" si="8"/>
        <v>2638</v>
      </c>
      <c r="B232" s="1" t="str">
        <f t="shared" ref="B232:B295" si="9">G232&amp;I232</f>
        <v>250000</v>
      </c>
      <c r="C232" s="1"/>
      <c r="D232" s="27">
        <f t="shared" ref="D232:D295" si="10">SUM($I$8:I232)</f>
        <v>0</v>
      </c>
      <c r="E232" s="33">
        <v>43537</v>
      </c>
      <c r="F232" s="82">
        <v>805093</v>
      </c>
      <c r="G232" s="25">
        <v>25000</v>
      </c>
      <c r="H232" s="28"/>
      <c r="I232" s="1">
        <f t="shared" si="7"/>
        <v>0</v>
      </c>
      <c r="J232" s="2"/>
      <c r="K232" s="2"/>
    </row>
    <row r="233" spans="1:11" s="76" customFormat="1" ht="27" hidden="1" customHeight="1" outlineLevel="1">
      <c r="A233" s="1">
        <f t="shared" si="8"/>
        <v>2638</v>
      </c>
      <c r="B233" s="1" t="str">
        <f t="shared" si="9"/>
        <v>250000</v>
      </c>
      <c r="C233" s="1"/>
      <c r="D233" s="27">
        <f t="shared" si="10"/>
        <v>0</v>
      </c>
      <c r="E233" s="33">
        <v>43537</v>
      </c>
      <c r="F233" s="82">
        <v>888037</v>
      </c>
      <c r="G233" s="25">
        <v>25000</v>
      </c>
      <c r="H233" s="28"/>
      <c r="I233" s="1">
        <f t="shared" si="7"/>
        <v>0</v>
      </c>
      <c r="J233" s="2"/>
      <c r="K233" s="2"/>
    </row>
    <row r="234" spans="1:11" s="76" customFormat="1" ht="27" hidden="1" customHeight="1" outlineLevel="1">
      <c r="A234" s="1">
        <f t="shared" si="8"/>
        <v>2638</v>
      </c>
      <c r="B234" s="1" t="str">
        <f t="shared" si="9"/>
        <v>250000</v>
      </c>
      <c r="C234" s="1"/>
      <c r="D234" s="27">
        <f t="shared" si="10"/>
        <v>0</v>
      </c>
      <c r="E234" s="33">
        <v>43538</v>
      </c>
      <c r="F234" s="82">
        <v>804867</v>
      </c>
      <c r="G234" s="25">
        <v>25000</v>
      </c>
      <c r="H234" s="28"/>
      <c r="I234" s="1">
        <f t="shared" si="7"/>
        <v>0</v>
      </c>
      <c r="J234" s="2"/>
      <c r="K234" s="2"/>
    </row>
    <row r="235" spans="1:11" s="76" customFormat="1" ht="27" hidden="1" customHeight="1" outlineLevel="1">
      <c r="A235" s="1">
        <f t="shared" si="8"/>
        <v>2638</v>
      </c>
      <c r="B235" s="1" t="str">
        <f t="shared" si="9"/>
        <v>250000</v>
      </c>
      <c r="C235" s="1"/>
      <c r="D235" s="27">
        <f t="shared" si="10"/>
        <v>0</v>
      </c>
      <c r="E235" s="33">
        <v>43538</v>
      </c>
      <c r="F235" s="82">
        <v>801599</v>
      </c>
      <c r="G235" s="25">
        <v>25000</v>
      </c>
      <c r="H235" s="28"/>
      <c r="I235" s="1">
        <f t="shared" si="7"/>
        <v>0</v>
      </c>
      <c r="J235" s="2"/>
      <c r="K235" s="2"/>
    </row>
    <row r="236" spans="1:11" s="76" customFormat="1" ht="27" hidden="1" customHeight="1" outlineLevel="1">
      <c r="A236" s="1">
        <f t="shared" si="8"/>
        <v>2638</v>
      </c>
      <c r="B236" s="1" t="str">
        <f t="shared" si="9"/>
        <v>1000000</v>
      </c>
      <c r="C236" s="1"/>
      <c r="D236" s="27">
        <f t="shared" si="10"/>
        <v>0</v>
      </c>
      <c r="E236" s="33">
        <v>43539</v>
      </c>
      <c r="F236" s="82">
        <v>2102094</v>
      </c>
      <c r="G236" s="25">
        <v>100000</v>
      </c>
      <c r="H236" s="28"/>
      <c r="I236" s="1">
        <f t="shared" si="7"/>
        <v>0</v>
      </c>
      <c r="J236" s="2"/>
      <c r="K236" s="2"/>
    </row>
    <row r="237" spans="1:11" s="76" customFormat="1" ht="27" hidden="1" customHeight="1" outlineLevel="1">
      <c r="A237" s="1">
        <f t="shared" si="8"/>
        <v>2638</v>
      </c>
      <c r="B237" s="1" t="str">
        <f t="shared" si="9"/>
        <v>1000000</v>
      </c>
      <c r="C237" s="1"/>
      <c r="D237" s="27">
        <f t="shared" si="10"/>
        <v>0</v>
      </c>
      <c r="E237" s="33">
        <v>43539</v>
      </c>
      <c r="F237" s="82">
        <v>461135</v>
      </c>
      <c r="G237" s="25">
        <v>100000</v>
      </c>
      <c r="H237" s="28"/>
      <c r="I237" s="1">
        <f t="shared" si="7"/>
        <v>0</v>
      </c>
      <c r="J237" s="2"/>
      <c r="K237" s="2"/>
    </row>
    <row r="238" spans="1:11" s="76" customFormat="1" ht="27" hidden="1" customHeight="1" outlineLevel="1">
      <c r="A238" s="1">
        <f t="shared" si="8"/>
        <v>2638</v>
      </c>
      <c r="B238" s="1" t="str">
        <f t="shared" si="9"/>
        <v>250000</v>
      </c>
      <c r="C238" s="1"/>
      <c r="D238" s="27">
        <f t="shared" si="10"/>
        <v>0</v>
      </c>
      <c r="E238" s="33">
        <v>43544</v>
      </c>
      <c r="F238" s="82">
        <v>880902</v>
      </c>
      <c r="G238" s="25">
        <v>25000</v>
      </c>
      <c r="H238" s="28"/>
      <c r="I238" s="1">
        <f t="shared" si="7"/>
        <v>0</v>
      </c>
      <c r="J238" s="2"/>
      <c r="K238" s="2"/>
    </row>
    <row r="239" spans="1:11" s="76" customFormat="1" ht="27" hidden="1" customHeight="1" outlineLevel="1">
      <c r="A239" s="1">
        <f t="shared" si="8"/>
        <v>2638</v>
      </c>
      <c r="B239" s="1" t="str">
        <f t="shared" si="9"/>
        <v>250000</v>
      </c>
      <c r="C239" s="1"/>
      <c r="D239" s="27">
        <f t="shared" si="10"/>
        <v>0</v>
      </c>
      <c r="E239" s="33">
        <v>43544</v>
      </c>
      <c r="F239" s="82">
        <v>883585</v>
      </c>
      <c r="G239" s="25">
        <v>25000</v>
      </c>
      <c r="H239" s="28"/>
      <c r="I239" s="1">
        <f t="shared" si="7"/>
        <v>0</v>
      </c>
      <c r="J239" s="2"/>
      <c r="K239" s="2"/>
    </row>
    <row r="240" spans="1:11" s="76" customFormat="1" ht="27" hidden="1" customHeight="1" outlineLevel="1">
      <c r="A240" s="1">
        <f t="shared" si="8"/>
        <v>2638</v>
      </c>
      <c r="B240" s="1" t="str">
        <f t="shared" si="9"/>
        <v>250000</v>
      </c>
      <c r="C240" s="1"/>
      <c r="D240" s="27">
        <f t="shared" si="10"/>
        <v>0</v>
      </c>
      <c r="E240" s="33">
        <v>43546</v>
      </c>
      <c r="F240" s="82">
        <v>859447</v>
      </c>
      <c r="G240" s="25">
        <v>25000</v>
      </c>
      <c r="H240" s="28"/>
      <c r="I240" s="1">
        <f t="shared" si="7"/>
        <v>0</v>
      </c>
      <c r="J240" s="2"/>
      <c r="K240" s="2"/>
    </row>
    <row r="241" spans="1:11" s="76" customFormat="1" ht="27" hidden="1" customHeight="1" outlineLevel="1">
      <c r="A241" s="1">
        <f t="shared" si="8"/>
        <v>2638</v>
      </c>
      <c r="B241" s="1" t="str">
        <f t="shared" si="9"/>
        <v>250000</v>
      </c>
      <c r="C241" s="1"/>
      <c r="D241" s="27">
        <f t="shared" si="10"/>
        <v>0</v>
      </c>
      <c r="E241" s="33">
        <v>43546</v>
      </c>
      <c r="F241" s="82">
        <v>854186</v>
      </c>
      <c r="G241" s="25">
        <v>25000</v>
      </c>
      <c r="H241" s="28"/>
      <c r="I241" s="1">
        <f t="shared" si="7"/>
        <v>0</v>
      </c>
      <c r="J241" s="2"/>
      <c r="K241" s="2"/>
    </row>
    <row r="242" spans="1:11" s="76" customFormat="1" ht="27" hidden="1" customHeight="1" outlineLevel="1">
      <c r="A242" s="1">
        <f t="shared" si="8"/>
        <v>2638</v>
      </c>
      <c r="B242" s="1" t="str">
        <f t="shared" si="9"/>
        <v>100000</v>
      </c>
      <c r="C242" s="1"/>
      <c r="D242" s="27">
        <f t="shared" si="10"/>
        <v>0</v>
      </c>
      <c r="E242" s="33">
        <v>43546</v>
      </c>
      <c r="F242" s="82">
        <v>32050</v>
      </c>
      <c r="G242" s="25">
        <v>10000</v>
      </c>
      <c r="H242" s="28"/>
      <c r="I242" s="1">
        <f t="shared" si="7"/>
        <v>0</v>
      </c>
      <c r="J242" s="2"/>
      <c r="K242" s="2"/>
    </row>
    <row r="243" spans="1:11" s="76" customFormat="1" ht="27" hidden="1" customHeight="1" outlineLevel="1">
      <c r="A243" s="1">
        <f t="shared" si="8"/>
        <v>2638</v>
      </c>
      <c r="B243" s="1" t="str">
        <f t="shared" si="9"/>
        <v>100000</v>
      </c>
      <c r="C243" s="1"/>
      <c r="D243" s="27">
        <f t="shared" si="10"/>
        <v>0</v>
      </c>
      <c r="E243" s="33">
        <v>43546</v>
      </c>
      <c r="F243" s="82">
        <v>10865</v>
      </c>
      <c r="G243" s="25">
        <v>10000</v>
      </c>
      <c r="H243" s="28"/>
      <c r="I243" s="1">
        <f t="shared" si="7"/>
        <v>0</v>
      </c>
      <c r="J243" s="2"/>
      <c r="K243" s="2"/>
    </row>
    <row r="244" spans="1:11" s="76" customFormat="1" ht="27" hidden="1" customHeight="1" outlineLevel="1">
      <c r="A244" s="1">
        <f t="shared" si="8"/>
        <v>2638</v>
      </c>
      <c r="B244" s="1" t="str">
        <f t="shared" si="9"/>
        <v>100000</v>
      </c>
      <c r="C244" s="1"/>
      <c r="D244" s="27">
        <f t="shared" si="10"/>
        <v>0</v>
      </c>
      <c r="E244" s="33">
        <v>43546</v>
      </c>
      <c r="F244" s="82">
        <v>509977</v>
      </c>
      <c r="G244" s="25">
        <v>10000</v>
      </c>
      <c r="H244" s="28"/>
      <c r="I244" s="1">
        <f t="shared" si="7"/>
        <v>0</v>
      </c>
      <c r="J244" s="2"/>
      <c r="K244" s="2"/>
    </row>
    <row r="245" spans="1:11" s="76" customFormat="1" ht="27" hidden="1" customHeight="1" outlineLevel="1">
      <c r="A245" s="1">
        <f t="shared" si="8"/>
        <v>2638</v>
      </c>
      <c r="B245" s="1" t="str">
        <f t="shared" si="9"/>
        <v>100000</v>
      </c>
      <c r="C245" s="1"/>
      <c r="D245" s="27">
        <f t="shared" si="10"/>
        <v>0</v>
      </c>
      <c r="E245" s="33">
        <v>43546</v>
      </c>
      <c r="F245" s="82">
        <v>667147</v>
      </c>
      <c r="G245" s="25">
        <v>10000</v>
      </c>
      <c r="H245" s="28"/>
      <c r="I245" s="1">
        <f t="shared" si="7"/>
        <v>0</v>
      </c>
      <c r="J245" s="2"/>
      <c r="K245" s="2"/>
    </row>
    <row r="246" spans="1:11" s="76" customFormat="1" ht="27" hidden="1" customHeight="1" outlineLevel="1">
      <c r="A246" s="1">
        <f t="shared" si="8"/>
        <v>2638</v>
      </c>
      <c r="B246" s="1" t="str">
        <f t="shared" si="9"/>
        <v>150000</v>
      </c>
      <c r="C246" s="1"/>
      <c r="D246" s="27">
        <f t="shared" si="10"/>
        <v>0</v>
      </c>
      <c r="E246" s="33">
        <v>43546</v>
      </c>
      <c r="F246" s="82">
        <v>37210</v>
      </c>
      <c r="G246" s="25">
        <v>15000</v>
      </c>
      <c r="H246" s="28"/>
      <c r="I246" s="1">
        <f t="shared" si="7"/>
        <v>0</v>
      </c>
      <c r="J246" s="2"/>
      <c r="K246" s="2"/>
    </row>
    <row r="247" spans="1:11" s="76" customFormat="1" ht="27" hidden="1" customHeight="1" outlineLevel="1">
      <c r="A247" s="1">
        <f t="shared" si="8"/>
        <v>2638</v>
      </c>
      <c r="B247" s="1" t="str">
        <f t="shared" si="9"/>
        <v>150000</v>
      </c>
      <c r="C247" s="1"/>
      <c r="D247" s="27">
        <f t="shared" si="10"/>
        <v>0</v>
      </c>
      <c r="E247" s="33">
        <v>43546</v>
      </c>
      <c r="F247" s="82">
        <v>67069</v>
      </c>
      <c r="G247" s="25">
        <v>15000</v>
      </c>
      <c r="H247" s="28"/>
      <c r="I247" s="1">
        <f t="shared" si="7"/>
        <v>0</v>
      </c>
      <c r="J247" s="2"/>
      <c r="K247" s="2"/>
    </row>
    <row r="248" spans="1:11" s="76" customFormat="1" ht="27" hidden="1" customHeight="1" outlineLevel="1">
      <c r="A248" s="1">
        <f t="shared" si="8"/>
        <v>2638</v>
      </c>
      <c r="B248" s="1" t="str">
        <f t="shared" si="9"/>
        <v>250000</v>
      </c>
      <c r="C248" s="1"/>
      <c r="D248" s="27">
        <f t="shared" si="10"/>
        <v>0</v>
      </c>
      <c r="E248" s="33">
        <v>43556</v>
      </c>
      <c r="F248" s="82">
        <v>1429768</v>
      </c>
      <c r="G248" s="25">
        <v>25000</v>
      </c>
      <c r="H248" s="28"/>
      <c r="I248" s="1">
        <f t="shared" si="7"/>
        <v>0</v>
      </c>
      <c r="J248" s="2"/>
      <c r="K248" s="2"/>
    </row>
    <row r="249" spans="1:11" s="76" customFormat="1" ht="27" hidden="1" customHeight="1" outlineLevel="1">
      <c r="A249" s="1">
        <f t="shared" si="8"/>
        <v>2638</v>
      </c>
      <c r="B249" s="1" t="str">
        <f t="shared" si="9"/>
        <v>250000</v>
      </c>
      <c r="C249" s="1"/>
      <c r="D249" s="27">
        <f t="shared" si="10"/>
        <v>0</v>
      </c>
      <c r="E249" s="33">
        <v>43556</v>
      </c>
      <c r="F249" s="82">
        <v>1463007</v>
      </c>
      <c r="G249" s="25">
        <v>25000</v>
      </c>
      <c r="H249" s="28"/>
      <c r="I249" s="1">
        <f t="shared" si="7"/>
        <v>0</v>
      </c>
      <c r="J249" s="2"/>
      <c r="K249" s="2"/>
    </row>
    <row r="250" spans="1:11" s="76" customFormat="1" ht="27" hidden="1" customHeight="1" outlineLevel="1">
      <c r="A250" s="1">
        <f t="shared" si="8"/>
        <v>2638</v>
      </c>
      <c r="B250" s="1" t="str">
        <f t="shared" si="9"/>
        <v>150000</v>
      </c>
      <c r="C250" s="1"/>
      <c r="D250" s="27">
        <f t="shared" si="10"/>
        <v>0</v>
      </c>
      <c r="E250" s="33">
        <v>43556</v>
      </c>
      <c r="F250" s="82">
        <v>89926</v>
      </c>
      <c r="G250" s="25">
        <v>15000</v>
      </c>
      <c r="H250" s="28"/>
      <c r="I250" s="1">
        <f t="shared" si="7"/>
        <v>0</v>
      </c>
      <c r="J250" s="2"/>
      <c r="K250" s="2"/>
    </row>
    <row r="251" spans="1:11" s="76" customFormat="1" ht="27" hidden="1" customHeight="1" outlineLevel="1">
      <c r="A251" s="1">
        <f t="shared" si="8"/>
        <v>2638</v>
      </c>
      <c r="B251" s="1" t="str">
        <f t="shared" si="9"/>
        <v>150000</v>
      </c>
      <c r="C251" s="1"/>
      <c r="D251" s="27">
        <f t="shared" si="10"/>
        <v>0</v>
      </c>
      <c r="E251" s="33">
        <v>43556</v>
      </c>
      <c r="F251" s="82">
        <v>34661</v>
      </c>
      <c r="G251" s="25">
        <v>15000</v>
      </c>
      <c r="H251" s="28"/>
      <c r="I251" s="1">
        <f t="shared" si="7"/>
        <v>0</v>
      </c>
      <c r="J251" s="2"/>
      <c r="K251" s="2"/>
    </row>
    <row r="252" spans="1:11" s="76" customFormat="1" ht="27" hidden="1" customHeight="1" outlineLevel="1">
      <c r="A252" s="1">
        <f t="shared" si="8"/>
        <v>2638</v>
      </c>
      <c r="B252" s="1" t="str">
        <f t="shared" si="9"/>
        <v>100000</v>
      </c>
      <c r="C252" s="1"/>
      <c r="D252" s="27">
        <f t="shared" si="10"/>
        <v>0</v>
      </c>
      <c r="E252" s="33">
        <v>43556</v>
      </c>
      <c r="F252" s="82">
        <v>560651</v>
      </c>
      <c r="G252" s="25">
        <v>10000</v>
      </c>
      <c r="H252" s="28"/>
      <c r="I252" s="1">
        <f t="shared" si="7"/>
        <v>0</v>
      </c>
      <c r="J252" s="2"/>
      <c r="K252" s="2"/>
    </row>
    <row r="253" spans="1:11" s="76" customFormat="1" ht="27" hidden="1" customHeight="1" outlineLevel="1">
      <c r="A253" s="1">
        <f t="shared" si="8"/>
        <v>2638</v>
      </c>
      <c r="B253" s="1" t="str">
        <f t="shared" si="9"/>
        <v>100000</v>
      </c>
      <c r="C253" s="1"/>
      <c r="D253" s="27">
        <f t="shared" si="10"/>
        <v>0</v>
      </c>
      <c r="E253" s="33">
        <v>43556</v>
      </c>
      <c r="F253" s="82">
        <v>683733</v>
      </c>
      <c r="G253" s="25">
        <v>10000</v>
      </c>
      <c r="H253" s="28"/>
      <c r="I253" s="1">
        <f t="shared" si="7"/>
        <v>0</v>
      </c>
      <c r="J253" s="2"/>
      <c r="K253" s="2"/>
    </row>
    <row r="254" spans="1:11" s="76" customFormat="1" ht="27" hidden="1" customHeight="1" outlineLevel="1">
      <c r="A254" s="1">
        <f t="shared" si="8"/>
        <v>2638</v>
      </c>
      <c r="B254" s="1" t="str">
        <f t="shared" si="9"/>
        <v>100000</v>
      </c>
      <c r="C254" s="1"/>
      <c r="D254" s="27">
        <f t="shared" si="10"/>
        <v>0</v>
      </c>
      <c r="E254" s="33">
        <v>43556</v>
      </c>
      <c r="F254" s="82">
        <v>17716</v>
      </c>
      <c r="G254" s="25">
        <v>10000</v>
      </c>
      <c r="H254" s="28"/>
      <c r="I254" s="1">
        <f t="shared" si="7"/>
        <v>0</v>
      </c>
      <c r="J254" s="2"/>
      <c r="K254" s="2"/>
    </row>
    <row r="255" spans="1:11" s="76" customFormat="1" ht="27" hidden="1" customHeight="1" outlineLevel="1">
      <c r="A255" s="1">
        <f t="shared" si="8"/>
        <v>2638</v>
      </c>
      <c r="B255" s="1" t="str">
        <f t="shared" si="9"/>
        <v>100000</v>
      </c>
      <c r="C255" s="1"/>
      <c r="D255" s="27">
        <f t="shared" si="10"/>
        <v>0</v>
      </c>
      <c r="E255" s="33">
        <v>43556</v>
      </c>
      <c r="F255" s="82">
        <v>26404</v>
      </c>
      <c r="G255" s="25">
        <v>10000</v>
      </c>
      <c r="H255" s="28"/>
      <c r="I255" s="1">
        <f t="shared" si="7"/>
        <v>0</v>
      </c>
      <c r="J255" s="2"/>
      <c r="K255" s="2"/>
    </row>
    <row r="256" spans="1:11" s="76" customFormat="1" ht="27" hidden="1" customHeight="1" outlineLevel="1">
      <c r="A256" s="1">
        <f t="shared" si="8"/>
        <v>2638</v>
      </c>
      <c r="B256" s="1" t="str">
        <f t="shared" si="9"/>
        <v>250000</v>
      </c>
      <c r="C256" s="1"/>
      <c r="D256" s="27">
        <f t="shared" si="10"/>
        <v>0</v>
      </c>
      <c r="E256" s="33">
        <v>43560</v>
      </c>
      <c r="F256" s="82">
        <v>1484725</v>
      </c>
      <c r="G256" s="25">
        <v>25000</v>
      </c>
      <c r="H256" s="28"/>
      <c r="I256" s="1">
        <f t="shared" si="7"/>
        <v>0</v>
      </c>
      <c r="J256" s="2"/>
      <c r="K256" s="2"/>
    </row>
    <row r="257" spans="1:11" s="76" customFormat="1" ht="27" hidden="1" customHeight="1" outlineLevel="1">
      <c r="A257" s="1">
        <f t="shared" si="8"/>
        <v>2638</v>
      </c>
      <c r="B257" s="1" t="str">
        <f t="shared" si="9"/>
        <v>250000</v>
      </c>
      <c r="C257" s="1"/>
      <c r="D257" s="27">
        <f t="shared" si="10"/>
        <v>0</v>
      </c>
      <c r="E257" s="33">
        <v>43560</v>
      </c>
      <c r="F257" s="82">
        <v>1415457</v>
      </c>
      <c r="G257" s="25">
        <v>25000</v>
      </c>
      <c r="H257" s="28"/>
      <c r="I257" s="1">
        <f t="shared" si="7"/>
        <v>0</v>
      </c>
      <c r="J257" s="2"/>
      <c r="K257" s="2"/>
    </row>
    <row r="258" spans="1:11" s="76" customFormat="1" ht="27" hidden="1" customHeight="1" outlineLevel="1">
      <c r="A258" s="1">
        <f t="shared" si="8"/>
        <v>2638</v>
      </c>
      <c r="B258" s="1" t="str">
        <f t="shared" si="9"/>
        <v>150000</v>
      </c>
      <c r="C258" s="1"/>
      <c r="D258" s="27">
        <f t="shared" si="10"/>
        <v>0</v>
      </c>
      <c r="E258" s="33">
        <v>43560</v>
      </c>
      <c r="F258" s="82">
        <v>961546</v>
      </c>
      <c r="G258" s="25">
        <v>15000</v>
      </c>
      <c r="H258" s="28"/>
      <c r="I258" s="1">
        <f t="shared" si="7"/>
        <v>0</v>
      </c>
      <c r="J258" s="2"/>
      <c r="K258" s="2"/>
    </row>
    <row r="259" spans="1:11" s="76" customFormat="1" ht="27" hidden="1" customHeight="1" outlineLevel="1">
      <c r="A259" s="1">
        <f t="shared" si="8"/>
        <v>2638</v>
      </c>
      <c r="B259" s="1" t="str">
        <f t="shared" si="9"/>
        <v>150000</v>
      </c>
      <c r="C259" s="1"/>
      <c r="D259" s="27">
        <f t="shared" si="10"/>
        <v>0</v>
      </c>
      <c r="E259" s="33">
        <v>43560</v>
      </c>
      <c r="F259" s="82">
        <v>947144</v>
      </c>
      <c r="G259" s="25">
        <v>15000</v>
      </c>
      <c r="H259" s="28"/>
      <c r="I259" s="1">
        <f t="shared" si="7"/>
        <v>0</v>
      </c>
      <c r="J259" s="2"/>
      <c r="K259" s="2"/>
    </row>
    <row r="260" spans="1:11" s="76" customFormat="1" ht="27" hidden="1" customHeight="1" outlineLevel="1">
      <c r="A260" s="1">
        <f t="shared" si="8"/>
        <v>2638</v>
      </c>
      <c r="B260" s="1" t="str">
        <f t="shared" si="9"/>
        <v>250000</v>
      </c>
      <c r="C260" s="1"/>
      <c r="D260" s="27">
        <f t="shared" si="10"/>
        <v>0</v>
      </c>
      <c r="E260" s="33">
        <v>43563</v>
      </c>
      <c r="F260" s="82">
        <v>1497900</v>
      </c>
      <c r="G260" s="25">
        <v>25000</v>
      </c>
      <c r="H260" s="28"/>
      <c r="I260" s="1">
        <f t="shared" si="7"/>
        <v>0</v>
      </c>
      <c r="J260" s="2"/>
      <c r="K260" s="2"/>
    </row>
    <row r="261" spans="1:11" s="76" customFormat="1" ht="27" hidden="1" customHeight="1" outlineLevel="1">
      <c r="A261" s="1">
        <f t="shared" si="8"/>
        <v>2638</v>
      </c>
      <c r="B261" s="1" t="str">
        <f t="shared" si="9"/>
        <v>250000</v>
      </c>
      <c r="C261" s="1"/>
      <c r="D261" s="27">
        <f t="shared" si="10"/>
        <v>0</v>
      </c>
      <c r="E261" s="33">
        <v>43563</v>
      </c>
      <c r="F261" s="82">
        <v>1495463</v>
      </c>
      <c r="G261" s="25">
        <v>25000</v>
      </c>
      <c r="H261" s="28"/>
      <c r="I261" s="1">
        <f t="shared" si="7"/>
        <v>0</v>
      </c>
      <c r="J261" s="2"/>
      <c r="K261" s="2"/>
    </row>
    <row r="262" spans="1:11" s="76" customFormat="1" ht="27" hidden="1" customHeight="1" collapsed="1">
      <c r="A262" s="1">
        <f t="shared" si="8"/>
        <v>2638</v>
      </c>
      <c r="B262" s="1" t="str">
        <f t="shared" si="9"/>
        <v>250000</v>
      </c>
      <c r="C262" s="1"/>
      <c r="D262" s="27">
        <f t="shared" si="10"/>
        <v>0</v>
      </c>
      <c r="E262" s="33">
        <v>43577</v>
      </c>
      <c r="F262" s="82">
        <v>974351</v>
      </c>
      <c r="G262" s="25">
        <v>25000</v>
      </c>
      <c r="H262" s="28"/>
      <c r="I262" s="1">
        <f t="shared" si="7"/>
        <v>0</v>
      </c>
      <c r="J262" s="2"/>
      <c r="K262" s="2"/>
    </row>
    <row r="263" spans="1:11" s="76" customFormat="1" ht="27" hidden="1" customHeight="1">
      <c r="A263" s="1">
        <f t="shared" si="8"/>
        <v>2638</v>
      </c>
      <c r="B263" s="1" t="str">
        <f t="shared" si="9"/>
        <v>250000</v>
      </c>
      <c r="C263" s="1"/>
      <c r="D263" s="27">
        <f t="shared" si="10"/>
        <v>0</v>
      </c>
      <c r="E263" s="33">
        <v>43578</v>
      </c>
      <c r="F263" s="82">
        <v>978409</v>
      </c>
      <c r="G263" s="25">
        <v>25000</v>
      </c>
      <c r="H263" s="28"/>
      <c r="I263" s="1">
        <f t="shared" si="7"/>
        <v>0</v>
      </c>
      <c r="J263" s="2"/>
      <c r="K263" s="2"/>
    </row>
    <row r="264" spans="1:11" s="76" customFormat="1" ht="27" hidden="1" customHeight="1">
      <c r="A264" s="1">
        <f t="shared" si="8"/>
        <v>2638</v>
      </c>
      <c r="B264" s="1" t="str">
        <f t="shared" si="9"/>
        <v>100000</v>
      </c>
      <c r="C264" s="1"/>
      <c r="D264" s="27">
        <f t="shared" si="10"/>
        <v>0</v>
      </c>
      <c r="E264" s="33">
        <v>43579</v>
      </c>
      <c r="F264" s="82">
        <v>1010399</v>
      </c>
      <c r="G264" s="25">
        <v>10000</v>
      </c>
      <c r="H264" s="28"/>
      <c r="I264" s="1">
        <f t="shared" si="7"/>
        <v>0</v>
      </c>
      <c r="J264" s="2"/>
      <c r="K264" s="2"/>
    </row>
    <row r="265" spans="1:11" s="76" customFormat="1" ht="27" hidden="1" customHeight="1">
      <c r="A265" s="1">
        <f t="shared" si="8"/>
        <v>2638</v>
      </c>
      <c r="B265" s="1" t="str">
        <f t="shared" si="9"/>
        <v>100000</v>
      </c>
      <c r="C265" s="1"/>
      <c r="D265" s="27">
        <f t="shared" si="10"/>
        <v>0</v>
      </c>
      <c r="E265" s="33">
        <v>43580</v>
      </c>
      <c r="F265" s="82">
        <v>960075</v>
      </c>
      <c r="G265" s="25">
        <v>10000</v>
      </c>
      <c r="H265" s="28"/>
      <c r="I265" s="1">
        <f t="shared" ref="I265:I269" si="11">IF(AND(E265&gt;=$J$6,E265&lt;=$K$6,A265=$I$6),1,0)</f>
        <v>0</v>
      </c>
      <c r="J265" s="2"/>
      <c r="K265" s="2"/>
    </row>
    <row r="266" spans="1:11" s="76" customFormat="1" ht="27" hidden="1" customHeight="1">
      <c r="A266" s="1">
        <f t="shared" si="8"/>
        <v>2638</v>
      </c>
      <c r="B266" s="1" t="str">
        <f t="shared" si="9"/>
        <v>150000</v>
      </c>
      <c r="C266" s="1"/>
      <c r="D266" s="27">
        <f t="shared" si="10"/>
        <v>0</v>
      </c>
      <c r="E266" s="33">
        <v>43581</v>
      </c>
      <c r="F266" s="82">
        <v>65694</v>
      </c>
      <c r="G266" s="25">
        <v>15000</v>
      </c>
      <c r="H266" s="28"/>
      <c r="I266" s="1">
        <f t="shared" si="11"/>
        <v>0</v>
      </c>
      <c r="J266" s="2"/>
      <c r="K266" s="2"/>
    </row>
    <row r="267" spans="1:11" s="76" customFormat="1" ht="27" hidden="1" customHeight="1">
      <c r="A267" s="1">
        <f t="shared" si="8"/>
        <v>2638</v>
      </c>
      <c r="B267" s="1" t="str">
        <f t="shared" si="9"/>
        <v>150000</v>
      </c>
      <c r="C267" s="1"/>
      <c r="D267" s="27">
        <f t="shared" si="10"/>
        <v>0</v>
      </c>
      <c r="E267" s="33">
        <v>43582</v>
      </c>
      <c r="F267" s="82">
        <v>3350</v>
      </c>
      <c r="G267" s="25">
        <v>15000</v>
      </c>
      <c r="H267" s="28"/>
      <c r="I267" s="1">
        <f t="shared" si="11"/>
        <v>0</v>
      </c>
      <c r="J267" s="2"/>
      <c r="K267" s="2"/>
    </row>
    <row r="268" spans="1:11" s="76" customFormat="1" ht="27" hidden="1" customHeight="1">
      <c r="A268" s="1">
        <f t="shared" ref="A268:A331" si="12">A267</f>
        <v>2638</v>
      </c>
      <c r="B268" s="1" t="str">
        <f t="shared" si="9"/>
        <v>100000</v>
      </c>
      <c r="C268" s="1"/>
      <c r="D268" s="27">
        <f t="shared" si="10"/>
        <v>0</v>
      </c>
      <c r="E268" s="33">
        <v>43583</v>
      </c>
      <c r="F268" s="82">
        <v>29225</v>
      </c>
      <c r="G268" s="25">
        <v>10000</v>
      </c>
      <c r="H268" s="28"/>
      <c r="I268" s="1">
        <f t="shared" si="11"/>
        <v>0</v>
      </c>
      <c r="J268" s="2"/>
      <c r="K268" s="2"/>
    </row>
    <row r="269" spans="1:11" s="76" customFormat="1" ht="27" hidden="1" customHeight="1">
      <c r="A269" s="1">
        <f t="shared" si="12"/>
        <v>2638</v>
      </c>
      <c r="B269" s="1" t="str">
        <f t="shared" si="9"/>
        <v>100000</v>
      </c>
      <c r="C269" s="1"/>
      <c r="D269" s="27">
        <f t="shared" si="10"/>
        <v>0</v>
      </c>
      <c r="E269" s="33">
        <v>43584</v>
      </c>
      <c r="F269" s="82">
        <v>91360</v>
      </c>
      <c r="G269" s="25">
        <v>10000</v>
      </c>
      <c r="H269" s="28"/>
      <c r="I269" s="1">
        <f t="shared" si="11"/>
        <v>0</v>
      </c>
      <c r="J269" s="2"/>
      <c r="K269" s="2"/>
    </row>
    <row r="270" spans="1:11" s="76" customFormat="1" ht="27" customHeight="1">
      <c r="A270" s="1">
        <v>60773</v>
      </c>
      <c r="B270" s="1" t="str">
        <f t="shared" si="9"/>
        <v>250001</v>
      </c>
      <c r="C270" s="1"/>
      <c r="D270" s="27">
        <f t="shared" si="10"/>
        <v>1</v>
      </c>
      <c r="E270" s="160">
        <v>43558</v>
      </c>
      <c r="F270" s="82">
        <v>1533608</v>
      </c>
      <c r="G270" s="25">
        <v>25000</v>
      </c>
      <c r="H270" s="28"/>
      <c r="I270" s="1">
        <f>IF(AND(E270&gt;=$J$6,E270&lt;=$K$6,A270=$I$6),1,0)</f>
        <v>1</v>
      </c>
      <c r="J270" s="2"/>
      <c r="K270" s="2"/>
    </row>
    <row r="271" spans="1:11" s="76" customFormat="1" ht="27" customHeight="1">
      <c r="A271" s="1">
        <f t="shared" si="12"/>
        <v>60773</v>
      </c>
      <c r="B271" s="1" t="str">
        <f t="shared" si="9"/>
        <v>250001</v>
      </c>
      <c r="C271" s="1"/>
      <c r="D271" s="27">
        <f t="shared" si="10"/>
        <v>2</v>
      </c>
      <c r="E271" s="33">
        <v>43558</v>
      </c>
      <c r="F271" s="82">
        <v>1535952</v>
      </c>
      <c r="G271" s="25">
        <v>25000</v>
      </c>
      <c r="H271" s="28"/>
      <c r="I271" s="1">
        <f t="shared" ref="I271:I334" si="13">IF(AND(E271&gt;=$J$6,E271&lt;=$K$6,A271=$I$6),1,0)</f>
        <v>1</v>
      </c>
      <c r="J271" s="2"/>
      <c r="K271" s="2"/>
    </row>
    <row r="272" spans="1:11" s="76" customFormat="1" ht="27" customHeight="1">
      <c r="A272" s="1">
        <f t="shared" si="12"/>
        <v>60773</v>
      </c>
      <c r="B272" s="1" t="str">
        <f t="shared" si="9"/>
        <v>250001</v>
      </c>
      <c r="C272" s="1"/>
      <c r="D272" s="27">
        <f t="shared" si="10"/>
        <v>3</v>
      </c>
      <c r="E272" s="33">
        <v>43559</v>
      </c>
      <c r="F272" s="82">
        <v>1418492</v>
      </c>
      <c r="G272" s="25">
        <v>25000</v>
      </c>
      <c r="H272" s="28"/>
      <c r="I272" s="1">
        <f t="shared" si="13"/>
        <v>1</v>
      </c>
      <c r="J272" s="2"/>
      <c r="K272" s="2"/>
    </row>
    <row r="273" spans="1:11" s="76" customFormat="1" ht="27" customHeight="1">
      <c r="A273" s="1">
        <f t="shared" si="12"/>
        <v>60773</v>
      </c>
      <c r="B273" s="1" t="str">
        <f t="shared" si="9"/>
        <v>250001</v>
      </c>
      <c r="C273" s="1"/>
      <c r="D273" s="27">
        <f t="shared" si="10"/>
        <v>4</v>
      </c>
      <c r="E273" s="33">
        <v>43559</v>
      </c>
      <c r="F273" s="82">
        <v>1418201</v>
      </c>
      <c r="G273" s="25">
        <v>25000</v>
      </c>
      <c r="H273" s="28"/>
      <c r="I273" s="1">
        <f t="shared" si="13"/>
        <v>1</v>
      </c>
      <c r="J273" s="2"/>
      <c r="K273" s="2"/>
    </row>
    <row r="274" spans="1:11" s="76" customFormat="1" ht="27" customHeight="1">
      <c r="A274" s="1">
        <f t="shared" si="12"/>
        <v>60773</v>
      </c>
      <c r="B274" s="1" t="str">
        <f t="shared" si="9"/>
        <v>250001</v>
      </c>
      <c r="C274" s="1"/>
      <c r="D274" s="27">
        <f t="shared" si="10"/>
        <v>5</v>
      </c>
      <c r="E274" s="33">
        <v>43560</v>
      </c>
      <c r="F274" s="82">
        <v>1414177</v>
      </c>
      <c r="G274" s="25">
        <v>25000</v>
      </c>
      <c r="H274" s="28"/>
      <c r="I274" s="1">
        <f t="shared" si="13"/>
        <v>1</v>
      </c>
      <c r="J274" s="2"/>
      <c r="K274" s="2"/>
    </row>
    <row r="275" spans="1:11" s="76" customFormat="1" ht="27" customHeight="1">
      <c r="A275" s="1">
        <f t="shared" si="12"/>
        <v>60773</v>
      </c>
      <c r="B275" s="1" t="str">
        <f t="shared" si="9"/>
        <v>250001</v>
      </c>
      <c r="C275" s="1"/>
      <c r="D275" s="27">
        <f t="shared" si="10"/>
        <v>6</v>
      </c>
      <c r="E275" s="33">
        <v>43560</v>
      </c>
      <c r="F275" s="82">
        <v>1418959</v>
      </c>
      <c r="G275" s="25">
        <v>25000</v>
      </c>
      <c r="H275" s="28"/>
      <c r="I275" s="1">
        <f t="shared" si="13"/>
        <v>1</v>
      </c>
      <c r="J275" s="2"/>
      <c r="K275" s="2"/>
    </row>
    <row r="276" spans="1:11" s="76" customFormat="1" ht="27" customHeight="1">
      <c r="A276" s="1">
        <f t="shared" si="12"/>
        <v>60773</v>
      </c>
      <c r="B276" s="1" t="str">
        <f t="shared" si="9"/>
        <v>250001</v>
      </c>
      <c r="C276" s="1"/>
      <c r="D276" s="27">
        <f t="shared" si="10"/>
        <v>7</v>
      </c>
      <c r="E276" s="33">
        <v>43561</v>
      </c>
      <c r="F276" s="82">
        <v>108162</v>
      </c>
      <c r="G276" s="25">
        <v>25000</v>
      </c>
      <c r="H276" s="28"/>
      <c r="I276" s="1">
        <f t="shared" si="13"/>
        <v>1</v>
      </c>
      <c r="J276" s="2"/>
      <c r="K276" s="2"/>
    </row>
    <row r="277" spans="1:11" s="76" customFormat="1" ht="27" customHeight="1">
      <c r="A277" s="1">
        <f t="shared" si="12"/>
        <v>60773</v>
      </c>
      <c r="B277" s="1" t="str">
        <f t="shared" si="9"/>
        <v>250001</v>
      </c>
      <c r="C277" s="1"/>
      <c r="D277" s="27">
        <f t="shared" si="10"/>
        <v>8</v>
      </c>
      <c r="E277" s="33">
        <v>43561</v>
      </c>
      <c r="F277" s="82">
        <v>459514</v>
      </c>
      <c r="G277" s="25">
        <v>25000</v>
      </c>
      <c r="H277" s="28"/>
      <c r="I277" s="1">
        <f t="shared" si="13"/>
        <v>1</v>
      </c>
      <c r="J277" s="2"/>
      <c r="K277" s="2"/>
    </row>
    <row r="278" spans="1:11" s="76" customFormat="1" ht="27" customHeight="1">
      <c r="A278" s="1">
        <f t="shared" si="12"/>
        <v>60773</v>
      </c>
      <c r="B278" s="1" t="str">
        <f t="shared" si="9"/>
        <v>250001</v>
      </c>
      <c r="C278" s="1"/>
      <c r="D278" s="27">
        <f t="shared" si="10"/>
        <v>9</v>
      </c>
      <c r="E278" s="33">
        <v>43563</v>
      </c>
      <c r="F278" s="82">
        <v>1491432</v>
      </c>
      <c r="G278" s="25">
        <v>25000</v>
      </c>
      <c r="H278" s="28"/>
      <c r="I278" s="1">
        <f t="shared" si="13"/>
        <v>1</v>
      </c>
      <c r="J278" s="2"/>
      <c r="K278" s="2"/>
    </row>
    <row r="279" spans="1:11" s="76" customFormat="1" ht="27" customHeight="1">
      <c r="A279" s="1">
        <f t="shared" si="12"/>
        <v>60773</v>
      </c>
      <c r="B279" s="1" t="str">
        <f t="shared" si="9"/>
        <v>250001</v>
      </c>
      <c r="C279" s="1"/>
      <c r="D279" s="27">
        <f t="shared" si="10"/>
        <v>10</v>
      </c>
      <c r="E279" s="33">
        <v>43563</v>
      </c>
      <c r="F279" s="82">
        <v>1490354</v>
      </c>
      <c r="G279" s="25">
        <v>25000</v>
      </c>
      <c r="H279" s="28"/>
      <c r="I279" s="1">
        <f t="shared" si="13"/>
        <v>1</v>
      </c>
      <c r="J279" s="2"/>
      <c r="K279" s="2"/>
    </row>
    <row r="280" spans="1:11" s="76" customFormat="1" ht="27" customHeight="1">
      <c r="A280" s="1">
        <f t="shared" si="12"/>
        <v>60773</v>
      </c>
      <c r="B280" s="1" t="str">
        <f t="shared" si="9"/>
        <v>1000001</v>
      </c>
      <c r="C280" s="1"/>
      <c r="D280" s="27">
        <f t="shared" si="10"/>
        <v>11</v>
      </c>
      <c r="E280" s="33">
        <v>43564</v>
      </c>
      <c r="F280" s="82">
        <v>868598</v>
      </c>
      <c r="G280" s="25">
        <v>100000</v>
      </c>
      <c r="H280" s="28"/>
      <c r="I280" s="1">
        <f t="shared" si="13"/>
        <v>1</v>
      </c>
      <c r="J280" s="2"/>
      <c r="K280" s="2"/>
    </row>
    <row r="281" spans="1:11" s="76" customFormat="1" ht="27" customHeight="1">
      <c r="A281" s="1">
        <f t="shared" si="12"/>
        <v>60773</v>
      </c>
      <c r="B281" s="1" t="str">
        <f t="shared" si="9"/>
        <v>1000001</v>
      </c>
      <c r="C281" s="1"/>
      <c r="D281" s="27">
        <f t="shared" si="10"/>
        <v>12</v>
      </c>
      <c r="E281" s="33">
        <v>43564</v>
      </c>
      <c r="F281" s="82">
        <v>2255889</v>
      </c>
      <c r="G281" s="25">
        <v>100000</v>
      </c>
      <c r="H281" s="28"/>
      <c r="I281" s="1">
        <f t="shared" si="13"/>
        <v>1</v>
      </c>
      <c r="J281" s="2"/>
      <c r="K281" s="2"/>
    </row>
    <row r="282" spans="1:11" s="76" customFormat="1" ht="27" customHeight="1">
      <c r="A282" s="1">
        <f t="shared" si="12"/>
        <v>60773</v>
      </c>
      <c r="B282" s="1" t="str">
        <f t="shared" si="9"/>
        <v>250001</v>
      </c>
      <c r="C282" s="1"/>
      <c r="D282" s="27">
        <f t="shared" si="10"/>
        <v>13</v>
      </c>
      <c r="E282" s="33">
        <v>43566</v>
      </c>
      <c r="F282" s="82">
        <v>1459227</v>
      </c>
      <c r="G282" s="25">
        <v>25000</v>
      </c>
      <c r="H282" s="28"/>
      <c r="I282" s="1">
        <f t="shared" si="13"/>
        <v>1</v>
      </c>
      <c r="J282" s="2"/>
      <c r="K282" s="2"/>
    </row>
    <row r="283" spans="1:11" s="76" customFormat="1" ht="27" customHeight="1">
      <c r="A283" s="1">
        <f t="shared" si="12"/>
        <v>60773</v>
      </c>
      <c r="B283" s="1" t="str">
        <f t="shared" si="9"/>
        <v>250001</v>
      </c>
      <c r="C283" s="1"/>
      <c r="D283" s="27">
        <f t="shared" si="10"/>
        <v>14</v>
      </c>
      <c r="E283" s="33">
        <v>43566</v>
      </c>
      <c r="F283" s="82">
        <v>1457662</v>
      </c>
      <c r="G283" s="25">
        <v>25000</v>
      </c>
      <c r="H283" s="28"/>
      <c r="I283" s="1">
        <f t="shared" si="13"/>
        <v>1</v>
      </c>
      <c r="J283" s="2"/>
      <c r="K283" s="2"/>
    </row>
    <row r="284" spans="1:11" s="76" customFormat="1" ht="27" customHeight="1">
      <c r="A284" s="1">
        <f t="shared" si="12"/>
        <v>60773</v>
      </c>
      <c r="B284" s="1" t="str">
        <f t="shared" si="9"/>
        <v>250001</v>
      </c>
      <c r="C284" s="1"/>
      <c r="D284" s="27">
        <f t="shared" si="10"/>
        <v>15</v>
      </c>
      <c r="E284" s="33">
        <v>43571</v>
      </c>
      <c r="F284" s="82">
        <v>988476</v>
      </c>
      <c r="G284" s="25">
        <v>25000</v>
      </c>
      <c r="H284" s="28"/>
      <c r="I284" s="1">
        <f t="shared" si="13"/>
        <v>1</v>
      </c>
      <c r="J284" s="2"/>
      <c r="K284" s="2"/>
    </row>
    <row r="285" spans="1:11" s="76" customFormat="1" ht="27" customHeight="1">
      <c r="A285" s="1">
        <f t="shared" si="12"/>
        <v>60773</v>
      </c>
      <c r="B285" s="1" t="str">
        <f t="shared" si="9"/>
        <v>250001</v>
      </c>
      <c r="C285" s="1"/>
      <c r="D285" s="27">
        <f t="shared" si="10"/>
        <v>16</v>
      </c>
      <c r="E285" s="33">
        <v>43571</v>
      </c>
      <c r="F285" s="82">
        <v>1095372</v>
      </c>
      <c r="G285" s="25">
        <v>25000</v>
      </c>
      <c r="H285" s="28"/>
      <c r="I285" s="1">
        <f t="shared" si="13"/>
        <v>1</v>
      </c>
      <c r="J285" s="2"/>
      <c r="K285" s="2"/>
    </row>
    <row r="286" spans="1:11" s="76" customFormat="1" ht="27" customHeight="1">
      <c r="A286" s="1">
        <f t="shared" si="12"/>
        <v>60773</v>
      </c>
      <c r="B286" s="1" t="str">
        <f t="shared" si="9"/>
        <v>250001</v>
      </c>
      <c r="C286" s="1"/>
      <c r="D286" s="27">
        <f t="shared" si="10"/>
        <v>17</v>
      </c>
      <c r="E286" s="33">
        <v>43578</v>
      </c>
      <c r="F286" s="82">
        <v>933587</v>
      </c>
      <c r="G286" s="25">
        <v>25000</v>
      </c>
      <c r="H286" s="28"/>
      <c r="I286" s="1">
        <f t="shared" si="13"/>
        <v>1</v>
      </c>
      <c r="J286" s="2"/>
      <c r="K286" s="2"/>
    </row>
    <row r="287" spans="1:11" s="76" customFormat="1" ht="27" customHeight="1">
      <c r="A287" s="1">
        <f t="shared" si="12"/>
        <v>60773</v>
      </c>
      <c r="B287" s="1" t="str">
        <f t="shared" si="9"/>
        <v>250001</v>
      </c>
      <c r="C287" s="1"/>
      <c r="D287" s="27">
        <f t="shared" si="10"/>
        <v>18</v>
      </c>
      <c r="E287" s="33">
        <v>43578</v>
      </c>
      <c r="F287" s="82">
        <v>973881</v>
      </c>
      <c r="G287" s="25">
        <v>25000</v>
      </c>
      <c r="H287" s="28"/>
      <c r="I287" s="1">
        <f t="shared" si="13"/>
        <v>1</v>
      </c>
      <c r="J287" s="2"/>
      <c r="K287" s="2"/>
    </row>
    <row r="288" spans="1:11" s="76" customFormat="1" ht="27" customHeight="1">
      <c r="A288" s="1">
        <f t="shared" si="12"/>
        <v>60773</v>
      </c>
      <c r="B288" s="1" t="str">
        <f t="shared" si="9"/>
        <v>250001</v>
      </c>
      <c r="C288" s="1"/>
      <c r="D288" s="27">
        <f t="shared" si="10"/>
        <v>19</v>
      </c>
      <c r="E288" s="33">
        <v>43598</v>
      </c>
      <c r="F288" s="82">
        <v>1029964</v>
      </c>
      <c r="G288" s="25">
        <v>25000</v>
      </c>
      <c r="H288" s="28"/>
      <c r="I288" s="1">
        <f t="shared" si="13"/>
        <v>1</v>
      </c>
      <c r="J288" s="2"/>
      <c r="K288" s="2"/>
    </row>
    <row r="289" spans="1:11" s="76" customFormat="1" ht="27" customHeight="1">
      <c r="A289" s="1">
        <f t="shared" si="12"/>
        <v>60773</v>
      </c>
      <c r="B289" s="1" t="str">
        <f t="shared" si="9"/>
        <v>250001</v>
      </c>
      <c r="C289" s="1"/>
      <c r="D289" s="27">
        <f t="shared" si="10"/>
        <v>20</v>
      </c>
      <c r="E289" s="33">
        <v>43598</v>
      </c>
      <c r="F289" s="82">
        <v>1016935</v>
      </c>
      <c r="G289" s="25">
        <v>25000</v>
      </c>
      <c r="H289" s="28"/>
      <c r="I289" s="1">
        <f t="shared" si="13"/>
        <v>1</v>
      </c>
      <c r="J289" s="2"/>
      <c r="K289" s="2"/>
    </row>
    <row r="290" spans="1:11" s="76" customFormat="1" ht="27" customHeight="1">
      <c r="A290" s="1">
        <f t="shared" si="12"/>
        <v>60773</v>
      </c>
      <c r="B290" s="1" t="str">
        <f t="shared" si="9"/>
        <v>250001</v>
      </c>
      <c r="C290" s="1"/>
      <c r="D290" s="27">
        <f t="shared" si="10"/>
        <v>21</v>
      </c>
      <c r="E290" s="33">
        <v>43599</v>
      </c>
      <c r="F290" s="82">
        <v>1017731</v>
      </c>
      <c r="G290" s="25">
        <v>25000</v>
      </c>
      <c r="H290" s="28"/>
      <c r="I290" s="1">
        <f t="shared" si="13"/>
        <v>1</v>
      </c>
      <c r="J290" s="2"/>
      <c r="K290" s="2"/>
    </row>
    <row r="291" spans="1:11" s="76" customFormat="1" ht="27" customHeight="1">
      <c r="A291" s="1">
        <f t="shared" si="12"/>
        <v>60773</v>
      </c>
      <c r="B291" s="1" t="str">
        <f t="shared" si="9"/>
        <v>250001</v>
      </c>
      <c r="C291" s="1"/>
      <c r="D291" s="27">
        <f t="shared" si="10"/>
        <v>22</v>
      </c>
      <c r="E291" s="33">
        <v>43599</v>
      </c>
      <c r="F291" s="82">
        <v>1673201</v>
      </c>
      <c r="G291" s="25">
        <v>25000</v>
      </c>
      <c r="H291" s="28"/>
      <c r="I291" s="1">
        <f t="shared" si="13"/>
        <v>1</v>
      </c>
      <c r="J291" s="2"/>
      <c r="K291" s="2"/>
    </row>
    <row r="292" spans="1:11" s="76" customFormat="1" ht="27" customHeight="1">
      <c r="A292" s="1">
        <f t="shared" si="12"/>
        <v>60773</v>
      </c>
      <c r="B292" s="1" t="str">
        <f t="shared" si="9"/>
        <v>250001</v>
      </c>
      <c r="C292" s="1"/>
      <c r="D292" s="27">
        <f t="shared" si="10"/>
        <v>23</v>
      </c>
      <c r="E292" s="33">
        <v>43600</v>
      </c>
      <c r="F292" s="82">
        <v>1673971</v>
      </c>
      <c r="G292" s="25">
        <v>25000</v>
      </c>
      <c r="H292" s="28"/>
      <c r="I292" s="1">
        <f t="shared" si="13"/>
        <v>1</v>
      </c>
      <c r="J292" s="2"/>
      <c r="K292" s="2"/>
    </row>
    <row r="293" spans="1:11" s="76" customFormat="1" ht="27" customHeight="1">
      <c r="A293" s="1">
        <f t="shared" si="12"/>
        <v>60773</v>
      </c>
      <c r="B293" s="1" t="str">
        <f t="shared" si="9"/>
        <v>250001</v>
      </c>
      <c r="C293" s="1"/>
      <c r="D293" s="27">
        <f t="shared" si="10"/>
        <v>24</v>
      </c>
      <c r="E293" s="33">
        <v>43600</v>
      </c>
      <c r="F293" s="82">
        <v>1671836</v>
      </c>
      <c r="G293" s="25">
        <v>25000</v>
      </c>
      <c r="H293" s="28"/>
      <c r="I293" s="1">
        <f t="shared" si="13"/>
        <v>1</v>
      </c>
      <c r="J293" s="2"/>
      <c r="K293" s="2"/>
    </row>
    <row r="294" spans="1:11" s="76" customFormat="1" ht="27" customHeight="1">
      <c r="A294" s="1">
        <f t="shared" si="12"/>
        <v>60773</v>
      </c>
      <c r="B294" s="1" t="str">
        <f t="shared" si="9"/>
        <v>250001</v>
      </c>
      <c r="C294" s="1"/>
      <c r="D294" s="27">
        <f t="shared" si="10"/>
        <v>25</v>
      </c>
      <c r="E294" s="33">
        <v>43601</v>
      </c>
      <c r="F294" s="82">
        <v>1678371</v>
      </c>
      <c r="G294" s="25">
        <v>25000</v>
      </c>
      <c r="H294" s="28"/>
      <c r="I294" s="1">
        <f t="shared" si="13"/>
        <v>1</v>
      </c>
      <c r="J294" s="2"/>
      <c r="K294" s="2"/>
    </row>
    <row r="295" spans="1:11" s="76" customFormat="1" ht="27" customHeight="1">
      <c r="A295" s="1">
        <f t="shared" si="12"/>
        <v>60773</v>
      </c>
      <c r="B295" s="1" t="str">
        <f t="shared" si="9"/>
        <v>250001</v>
      </c>
      <c r="C295" s="1"/>
      <c r="D295" s="27">
        <f t="shared" si="10"/>
        <v>26</v>
      </c>
      <c r="E295" s="33">
        <v>43601</v>
      </c>
      <c r="F295" s="82">
        <v>1639171</v>
      </c>
      <c r="G295" s="25">
        <v>25000</v>
      </c>
      <c r="H295" s="28"/>
      <c r="I295" s="1">
        <f t="shared" si="13"/>
        <v>1</v>
      </c>
      <c r="J295" s="2"/>
      <c r="K295" s="2"/>
    </row>
    <row r="296" spans="1:11" s="76" customFormat="1" ht="27" customHeight="1">
      <c r="A296" s="1">
        <f t="shared" si="12"/>
        <v>60773</v>
      </c>
      <c r="B296" s="1" t="str">
        <f t="shared" ref="B296:B354" si="14">G296&amp;I296</f>
        <v>250001</v>
      </c>
      <c r="C296" s="1"/>
      <c r="D296" s="27">
        <f t="shared" ref="D296:D354" si="15">SUM($I$8:I296)</f>
        <v>27</v>
      </c>
      <c r="E296" s="33">
        <v>43604</v>
      </c>
      <c r="F296" s="82">
        <v>526675</v>
      </c>
      <c r="G296" s="25">
        <v>25000</v>
      </c>
      <c r="H296" s="28"/>
      <c r="I296" s="1">
        <f t="shared" si="13"/>
        <v>1</v>
      </c>
      <c r="J296" s="2"/>
      <c r="K296" s="2"/>
    </row>
    <row r="297" spans="1:11" s="76" customFormat="1" ht="27" customHeight="1">
      <c r="A297" s="1">
        <f t="shared" si="12"/>
        <v>60773</v>
      </c>
      <c r="B297" s="1" t="str">
        <f t="shared" si="14"/>
        <v>250001</v>
      </c>
      <c r="C297" s="1"/>
      <c r="D297" s="27">
        <f t="shared" si="15"/>
        <v>28</v>
      </c>
      <c r="E297" s="33">
        <v>43604</v>
      </c>
      <c r="F297" s="82">
        <v>483659</v>
      </c>
      <c r="G297" s="25">
        <v>25000</v>
      </c>
      <c r="H297" s="28"/>
      <c r="I297" s="1">
        <f t="shared" si="13"/>
        <v>1</v>
      </c>
      <c r="J297" s="2"/>
      <c r="K297" s="2"/>
    </row>
    <row r="298" spans="1:11" s="76" customFormat="1" ht="27" customHeight="1">
      <c r="A298" s="1">
        <f t="shared" si="12"/>
        <v>60773</v>
      </c>
      <c r="B298" s="1" t="str">
        <f t="shared" si="14"/>
        <v>250001</v>
      </c>
      <c r="C298" s="1"/>
      <c r="D298" s="27">
        <f t="shared" si="15"/>
        <v>29</v>
      </c>
      <c r="E298" s="33">
        <v>43608</v>
      </c>
      <c r="F298" s="82">
        <v>1686886</v>
      </c>
      <c r="G298" s="25">
        <v>25000</v>
      </c>
      <c r="H298" s="28"/>
      <c r="I298" s="1">
        <f t="shared" si="13"/>
        <v>1</v>
      </c>
      <c r="J298" s="2"/>
      <c r="K298" s="2"/>
    </row>
    <row r="299" spans="1:11" s="76" customFormat="1" ht="27" customHeight="1">
      <c r="A299" s="1">
        <f t="shared" si="12"/>
        <v>60773</v>
      </c>
      <c r="B299" s="1" t="str">
        <f t="shared" si="14"/>
        <v>250001</v>
      </c>
      <c r="C299" s="1"/>
      <c r="D299" s="27">
        <f t="shared" si="15"/>
        <v>30</v>
      </c>
      <c r="E299" s="33">
        <v>43608</v>
      </c>
      <c r="F299" s="82">
        <v>1685359</v>
      </c>
      <c r="G299" s="25">
        <v>25000</v>
      </c>
      <c r="H299" s="28"/>
      <c r="I299" s="1">
        <f t="shared" si="13"/>
        <v>1</v>
      </c>
      <c r="J299" s="2"/>
      <c r="K299" s="2"/>
    </row>
    <row r="300" spans="1:11" s="76" customFormat="1" ht="27" customHeight="1">
      <c r="A300" s="1">
        <f t="shared" si="12"/>
        <v>60773</v>
      </c>
      <c r="B300" s="1" t="str">
        <f t="shared" si="14"/>
        <v>250001</v>
      </c>
      <c r="C300" s="1"/>
      <c r="D300" s="27">
        <f t="shared" si="15"/>
        <v>31</v>
      </c>
      <c r="E300" s="33">
        <v>43609</v>
      </c>
      <c r="F300" s="82">
        <v>1655830</v>
      </c>
      <c r="G300" s="25">
        <v>25000</v>
      </c>
      <c r="H300" s="28"/>
      <c r="I300" s="1">
        <f t="shared" si="13"/>
        <v>1</v>
      </c>
      <c r="J300" s="2"/>
      <c r="K300" s="2"/>
    </row>
    <row r="301" spans="1:11" s="76" customFormat="1" ht="27" customHeight="1">
      <c r="A301" s="1">
        <f t="shared" si="12"/>
        <v>60773</v>
      </c>
      <c r="B301" s="1" t="str">
        <f t="shared" si="14"/>
        <v>250001</v>
      </c>
      <c r="C301" s="1"/>
      <c r="D301" s="27">
        <f t="shared" si="15"/>
        <v>32</v>
      </c>
      <c r="E301" s="33">
        <v>43609</v>
      </c>
      <c r="F301" s="82">
        <v>1659504</v>
      </c>
      <c r="G301" s="25">
        <v>25000</v>
      </c>
      <c r="H301" s="28"/>
      <c r="I301" s="1">
        <f t="shared" si="13"/>
        <v>1</v>
      </c>
      <c r="J301" s="2"/>
      <c r="K301" s="2"/>
    </row>
    <row r="302" spans="1:11" s="76" customFormat="1" ht="27" customHeight="1">
      <c r="A302" s="1">
        <f t="shared" si="12"/>
        <v>60773</v>
      </c>
      <c r="B302" s="1" t="str">
        <f t="shared" si="14"/>
        <v>250001</v>
      </c>
      <c r="C302" s="1"/>
      <c r="D302" s="27">
        <f t="shared" si="15"/>
        <v>33</v>
      </c>
      <c r="E302" s="33">
        <v>43635</v>
      </c>
      <c r="F302" s="82">
        <v>1562901</v>
      </c>
      <c r="G302" s="25">
        <v>25000</v>
      </c>
      <c r="H302" s="28"/>
      <c r="I302" s="1">
        <f t="shared" si="13"/>
        <v>1</v>
      </c>
      <c r="J302" s="2"/>
      <c r="K302" s="2"/>
    </row>
    <row r="303" spans="1:11" s="76" customFormat="1" ht="27" customHeight="1">
      <c r="A303" s="1">
        <f t="shared" si="12"/>
        <v>60773</v>
      </c>
      <c r="B303" s="1" t="str">
        <f t="shared" si="14"/>
        <v>250001</v>
      </c>
      <c r="C303" s="1"/>
      <c r="D303" s="27">
        <f t="shared" si="15"/>
        <v>34</v>
      </c>
      <c r="E303" s="33">
        <v>43635</v>
      </c>
      <c r="F303" s="82">
        <v>958278</v>
      </c>
      <c r="G303" s="25">
        <v>25000</v>
      </c>
      <c r="H303" s="28"/>
      <c r="I303" s="1">
        <f t="shared" si="13"/>
        <v>1</v>
      </c>
      <c r="J303" s="2"/>
      <c r="K303" s="2"/>
    </row>
    <row r="304" spans="1:11" s="76" customFormat="1" ht="27" customHeight="1">
      <c r="A304" s="1">
        <f t="shared" si="12"/>
        <v>60773</v>
      </c>
      <c r="B304" s="1" t="str">
        <f t="shared" si="14"/>
        <v>1000001</v>
      </c>
      <c r="C304" s="1"/>
      <c r="D304" s="27">
        <f t="shared" si="15"/>
        <v>35</v>
      </c>
      <c r="E304" s="33">
        <v>43635</v>
      </c>
      <c r="F304" s="82">
        <v>4656805</v>
      </c>
      <c r="G304" s="25">
        <v>100000</v>
      </c>
      <c r="H304" s="28"/>
      <c r="I304" s="1">
        <f t="shared" si="13"/>
        <v>1</v>
      </c>
      <c r="J304" s="2"/>
      <c r="K304" s="2"/>
    </row>
    <row r="305" spans="1:11" s="76" customFormat="1" ht="27" customHeight="1">
      <c r="A305" s="1">
        <f t="shared" si="12"/>
        <v>60773</v>
      </c>
      <c r="B305" s="1" t="str">
        <f t="shared" si="14"/>
        <v>1000001</v>
      </c>
      <c r="C305" s="1"/>
      <c r="D305" s="27">
        <f t="shared" si="15"/>
        <v>36</v>
      </c>
      <c r="E305" s="33">
        <v>43635</v>
      </c>
      <c r="F305" s="82">
        <v>5514349</v>
      </c>
      <c r="G305" s="25">
        <v>100000</v>
      </c>
      <c r="H305" s="28"/>
      <c r="I305" s="1">
        <f t="shared" si="13"/>
        <v>1</v>
      </c>
      <c r="J305" s="2"/>
      <c r="K305" s="2"/>
    </row>
    <row r="306" spans="1:11" s="76" customFormat="1" ht="27" customHeight="1">
      <c r="A306" s="1">
        <f t="shared" si="12"/>
        <v>60773</v>
      </c>
      <c r="B306" s="1" t="str">
        <f t="shared" si="14"/>
        <v>1000001</v>
      </c>
      <c r="C306" s="1"/>
      <c r="D306" s="27">
        <f t="shared" si="15"/>
        <v>37</v>
      </c>
      <c r="E306" s="33">
        <v>43644</v>
      </c>
      <c r="F306" s="82">
        <v>5186890</v>
      </c>
      <c r="G306" s="25">
        <v>100000</v>
      </c>
      <c r="H306" s="28"/>
      <c r="I306" s="1">
        <f t="shared" si="13"/>
        <v>1</v>
      </c>
      <c r="J306" s="2"/>
      <c r="K306" s="2"/>
    </row>
    <row r="307" spans="1:11" s="76" customFormat="1" ht="27" customHeight="1">
      <c r="A307" s="1">
        <f t="shared" si="12"/>
        <v>60773</v>
      </c>
      <c r="B307" s="1" t="str">
        <f t="shared" si="14"/>
        <v>1000001</v>
      </c>
      <c r="C307" s="1"/>
      <c r="D307" s="27">
        <f t="shared" si="15"/>
        <v>38</v>
      </c>
      <c r="E307" s="33">
        <v>43644</v>
      </c>
      <c r="F307" s="82">
        <v>4732699</v>
      </c>
      <c r="G307" s="25">
        <v>100000</v>
      </c>
      <c r="H307" s="28"/>
      <c r="I307" s="1">
        <f t="shared" si="13"/>
        <v>1</v>
      </c>
      <c r="J307" s="2"/>
      <c r="K307" s="2"/>
    </row>
    <row r="308" spans="1:11" s="76" customFormat="1" ht="27" customHeight="1">
      <c r="A308" s="1">
        <f t="shared" si="12"/>
        <v>60773</v>
      </c>
      <c r="B308" s="1" t="str">
        <f t="shared" si="14"/>
        <v>250001</v>
      </c>
      <c r="C308" s="1"/>
      <c r="D308" s="27">
        <f t="shared" si="15"/>
        <v>39</v>
      </c>
      <c r="E308" s="33">
        <v>43661</v>
      </c>
      <c r="F308" s="82">
        <v>81930</v>
      </c>
      <c r="G308" s="25">
        <v>25000</v>
      </c>
      <c r="H308" s="28"/>
      <c r="I308" s="1">
        <f t="shared" si="13"/>
        <v>1</v>
      </c>
      <c r="J308" s="2"/>
      <c r="K308" s="2"/>
    </row>
    <row r="309" spans="1:11" s="76" customFormat="1" ht="27" customHeight="1">
      <c r="A309" s="1">
        <f t="shared" si="12"/>
        <v>60773</v>
      </c>
      <c r="B309" s="1" t="str">
        <f t="shared" si="14"/>
        <v>250001</v>
      </c>
      <c r="C309" s="1"/>
      <c r="D309" s="27">
        <f t="shared" si="15"/>
        <v>40</v>
      </c>
      <c r="E309" s="33">
        <v>43661</v>
      </c>
      <c r="F309" s="82">
        <v>80315</v>
      </c>
      <c r="G309" s="25">
        <v>25000</v>
      </c>
      <c r="H309" s="28"/>
      <c r="I309" s="1">
        <f t="shared" si="13"/>
        <v>1</v>
      </c>
      <c r="J309" s="2"/>
      <c r="K309" s="2"/>
    </row>
    <row r="310" spans="1:11" s="76" customFormat="1" ht="27" customHeight="1">
      <c r="A310" s="1">
        <f t="shared" si="12"/>
        <v>60773</v>
      </c>
      <c r="B310" s="1" t="str">
        <f t="shared" si="14"/>
        <v>250001</v>
      </c>
      <c r="C310" s="1"/>
      <c r="D310" s="27">
        <f t="shared" si="15"/>
        <v>41</v>
      </c>
      <c r="E310" s="33">
        <v>43662</v>
      </c>
      <c r="F310" s="82">
        <v>87848</v>
      </c>
      <c r="G310" s="25">
        <v>25000</v>
      </c>
      <c r="H310" s="28"/>
      <c r="I310" s="1">
        <f t="shared" si="13"/>
        <v>1</v>
      </c>
      <c r="J310" s="2"/>
      <c r="K310" s="2"/>
    </row>
    <row r="311" spans="1:11" s="76" customFormat="1" ht="27" customHeight="1">
      <c r="A311" s="1">
        <f t="shared" si="12"/>
        <v>60773</v>
      </c>
      <c r="B311" s="1" t="str">
        <f t="shared" si="14"/>
        <v>250001</v>
      </c>
      <c r="C311" s="1"/>
      <c r="D311" s="27">
        <f t="shared" si="15"/>
        <v>42</v>
      </c>
      <c r="E311" s="33">
        <v>43662</v>
      </c>
      <c r="F311" s="82">
        <v>83810</v>
      </c>
      <c r="G311" s="25">
        <v>25000</v>
      </c>
      <c r="H311" s="28"/>
      <c r="I311" s="1">
        <f t="shared" si="13"/>
        <v>1</v>
      </c>
      <c r="J311" s="2"/>
      <c r="K311" s="2"/>
    </row>
    <row r="312" spans="1:11" s="76" customFormat="1" ht="27" customHeight="1">
      <c r="A312" s="1">
        <f t="shared" si="12"/>
        <v>60773</v>
      </c>
      <c r="B312" s="1" t="str">
        <f t="shared" si="14"/>
        <v>250001</v>
      </c>
      <c r="C312" s="1"/>
      <c r="D312" s="27">
        <f t="shared" si="15"/>
        <v>43</v>
      </c>
      <c r="E312" s="33">
        <v>43667</v>
      </c>
      <c r="F312" s="82">
        <v>448768</v>
      </c>
      <c r="G312" s="25">
        <v>25000</v>
      </c>
      <c r="H312" s="28"/>
      <c r="I312" s="1">
        <f t="shared" si="13"/>
        <v>1</v>
      </c>
      <c r="J312" s="2"/>
      <c r="K312" s="2"/>
    </row>
    <row r="313" spans="1:11" s="76" customFormat="1" ht="27" customHeight="1">
      <c r="A313" s="1">
        <f t="shared" si="12"/>
        <v>60773</v>
      </c>
      <c r="B313" s="1" t="str">
        <f t="shared" si="14"/>
        <v>250001</v>
      </c>
      <c r="C313" s="1"/>
      <c r="D313" s="27">
        <f t="shared" si="15"/>
        <v>44</v>
      </c>
      <c r="E313" s="33">
        <v>43667</v>
      </c>
      <c r="F313" s="82">
        <v>627130</v>
      </c>
      <c r="G313" s="25">
        <v>25000</v>
      </c>
      <c r="H313" s="28"/>
      <c r="I313" s="1">
        <f t="shared" si="13"/>
        <v>1</v>
      </c>
      <c r="J313" s="2"/>
      <c r="K313" s="2"/>
    </row>
    <row r="314" spans="1:11" s="76" customFormat="1" ht="27" customHeight="1">
      <c r="A314" s="1">
        <f t="shared" si="12"/>
        <v>60773</v>
      </c>
      <c r="B314" s="1" t="str">
        <f t="shared" si="14"/>
        <v>250001</v>
      </c>
      <c r="C314" s="1"/>
      <c r="D314" s="27">
        <f t="shared" si="15"/>
        <v>45</v>
      </c>
      <c r="E314" s="33">
        <v>43670</v>
      </c>
      <c r="F314" s="82">
        <v>100197</v>
      </c>
      <c r="G314" s="25">
        <v>25000</v>
      </c>
      <c r="H314" s="28"/>
      <c r="I314" s="1">
        <f t="shared" si="13"/>
        <v>1</v>
      </c>
      <c r="J314" s="2"/>
      <c r="K314" s="2"/>
    </row>
    <row r="315" spans="1:11" s="76" customFormat="1" ht="27" customHeight="1">
      <c r="A315" s="1">
        <f t="shared" si="12"/>
        <v>60773</v>
      </c>
      <c r="B315" s="1" t="str">
        <f t="shared" si="14"/>
        <v>250001</v>
      </c>
      <c r="C315" s="1"/>
      <c r="D315" s="27">
        <f t="shared" si="15"/>
        <v>46</v>
      </c>
      <c r="E315" s="33">
        <v>43670</v>
      </c>
      <c r="F315" s="82">
        <v>459521</v>
      </c>
      <c r="G315" s="25">
        <v>25000</v>
      </c>
      <c r="H315" s="28"/>
      <c r="I315" s="1">
        <f t="shared" si="13"/>
        <v>1</v>
      </c>
      <c r="J315" s="2"/>
      <c r="K315" s="2"/>
    </row>
    <row r="316" spans="1:11" s="76" customFormat="1" ht="27" customHeight="1">
      <c r="A316" s="1">
        <f t="shared" si="12"/>
        <v>60773</v>
      </c>
      <c r="B316" s="1" t="str">
        <f t="shared" si="14"/>
        <v>250001</v>
      </c>
      <c r="C316" s="1"/>
      <c r="D316" s="27">
        <f t="shared" si="15"/>
        <v>47</v>
      </c>
      <c r="E316" s="33">
        <v>43671</v>
      </c>
      <c r="F316" s="82">
        <v>1508164</v>
      </c>
      <c r="G316" s="25">
        <v>25000</v>
      </c>
      <c r="H316" s="28"/>
      <c r="I316" s="1">
        <f t="shared" si="13"/>
        <v>1</v>
      </c>
      <c r="J316" s="2"/>
      <c r="K316" s="2"/>
    </row>
    <row r="317" spans="1:11" s="76" customFormat="1" ht="27" customHeight="1">
      <c r="A317" s="1">
        <f t="shared" si="12"/>
        <v>60773</v>
      </c>
      <c r="B317" s="1" t="str">
        <f t="shared" si="14"/>
        <v>250001</v>
      </c>
      <c r="C317" s="1"/>
      <c r="D317" s="27">
        <f t="shared" si="15"/>
        <v>48</v>
      </c>
      <c r="E317" s="33">
        <v>43671</v>
      </c>
      <c r="F317" s="82">
        <v>453988</v>
      </c>
      <c r="G317" s="25">
        <v>25000</v>
      </c>
      <c r="H317" s="28"/>
      <c r="I317" s="1">
        <f t="shared" si="13"/>
        <v>1</v>
      </c>
      <c r="J317" s="2"/>
      <c r="K317" s="2"/>
    </row>
    <row r="318" spans="1:11" s="76" customFormat="1" ht="27" customHeight="1">
      <c r="A318" s="1">
        <f t="shared" si="12"/>
        <v>60773</v>
      </c>
      <c r="B318" s="1" t="str">
        <f t="shared" si="14"/>
        <v>250001</v>
      </c>
      <c r="C318" s="1"/>
      <c r="D318" s="27">
        <f t="shared" si="15"/>
        <v>49</v>
      </c>
      <c r="E318" s="33">
        <v>43672</v>
      </c>
      <c r="F318" s="82">
        <v>452209</v>
      </c>
      <c r="G318" s="25">
        <v>25000</v>
      </c>
      <c r="H318" s="28"/>
      <c r="I318" s="1">
        <f t="shared" si="13"/>
        <v>1</v>
      </c>
      <c r="J318" s="2"/>
      <c r="K318" s="2"/>
    </row>
    <row r="319" spans="1:11" s="76" customFormat="1" ht="27" customHeight="1">
      <c r="A319" s="1">
        <f t="shared" si="12"/>
        <v>60773</v>
      </c>
      <c r="B319" s="1" t="str">
        <f t="shared" si="14"/>
        <v>250001</v>
      </c>
      <c r="C319" s="1"/>
      <c r="D319" s="27">
        <f t="shared" si="15"/>
        <v>50</v>
      </c>
      <c r="E319" s="33">
        <v>43672</v>
      </c>
      <c r="F319" s="82">
        <v>101823</v>
      </c>
      <c r="G319" s="25">
        <v>25000</v>
      </c>
      <c r="H319" s="28"/>
      <c r="I319" s="1">
        <f t="shared" si="13"/>
        <v>1</v>
      </c>
      <c r="J319" s="2"/>
      <c r="K319" s="2"/>
    </row>
    <row r="320" spans="1:11" s="76" customFormat="1" ht="27" customHeight="1">
      <c r="A320" s="1">
        <f t="shared" si="12"/>
        <v>60773</v>
      </c>
      <c r="B320" s="1" t="str">
        <f t="shared" si="14"/>
        <v>250001</v>
      </c>
      <c r="C320" s="1"/>
      <c r="D320" s="27">
        <f t="shared" si="15"/>
        <v>51</v>
      </c>
      <c r="E320" s="33">
        <v>43679</v>
      </c>
      <c r="F320" s="82">
        <v>528460</v>
      </c>
      <c r="G320" s="25">
        <v>25000</v>
      </c>
      <c r="H320" s="28"/>
      <c r="I320" s="1">
        <f t="shared" si="13"/>
        <v>1</v>
      </c>
      <c r="J320" s="2"/>
      <c r="K320" s="2"/>
    </row>
    <row r="321" spans="1:11" s="76" customFormat="1" ht="27" customHeight="1">
      <c r="A321" s="1">
        <f t="shared" si="12"/>
        <v>60773</v>
      </c>
      <c r="B321" s="1" t="str">
        <f t="shared" si="14"/>
        <v>250001</v>
      </c>
      <c r="C321" s="1"/>
      <c r="D321" s="27">
        <f t="shared" si="15"/>
        <v>52</v>
      </c>
      <c r="E321" s="33">
        <v>43679</v>
      </c>
      <c r="F321" s="82">
        <v>471231</v>
      </c>
      <c r="G321" s="25">
        <v>25000</v>
      </c>
      <c r="H321" s="28"/>
      <c r="I321" s="1">
        <f t="shared" si="13"/>
        <v>1</v>
      </c>
      <c r="J321" s="2"/>
      <c r="K321" s="2"/>
    </row>
    <row r="322" spans="1:11" s="76" customFormat="1" ht="27" customHeight="1">
      <c r="A322" s="1">
        <f t="shared" si="12"/>
        <v>60773</v>
      </c>
      <c r="B322" s="1" t="str">
        <f t="shared" si="14"/>
        <v>250001</v>
      </c>
      <c r="C322" s="1"/>
      <c r="D322" s="27">
        <f t="shared" si="15"/>
        <v>53</v>
      </c>
      <c r="E322" s="33">
        <v>43682</v>
      </c>
      <c r="F322" s="82">
        <v>470807</v>
      </c>
      <c r="G322" s="25">
        <v>25000</v>
      </c>
      <c r="H322" s="28"/>
      <c r="I322" s="1">
        <f t="shared" si="13"/>
        <v>1</v>
      </c>
      <c r="J322" s="2"/>
      <c r="K322" s="2"/>
    </row>
    <row r="323" spans="1:11" s="76" customFormat="1" ht="27" customHeight="1">
      <c r="A323" s="1">
        <f t="shared" si="12"/>
        <v>60773</v>
      </c>
      <c r="B323" s="1" t="str">
        <f t="shared" si="14"/>
        <v>250001</v>
      </c>
      <c r="C323" s="1"/>
      <c r="D323" s="27">
        <f t="shared" si="15"/>
        <v>54</v>
      </c>
      <c r="E323" s="33">
        <v>43682</v>
      </c>
      <c r="F323" s="82">
        <v>457334</v>
      </c>
      <c r="G323" s="25">
        <v>25000</v>
      </c>
      <c r="H323" s="28"/>
      <c r="I323" s="1">
        <f t="shared" si="13"/>
        <v>1</v>
      </c>
      <c r="J323" s="2"/>
      <c r="K323" s="2"/>
    </row>
    <row r="324" spans="1:11" s="76" customFormat="1" ht="27" customHeight="1">
      <c r="A324" s="1">
        <f t="shared" si="12"/>
        <v>60773</v>
      </c>
      <c r="B324" s="1" t="str">
        <f t="shared" si="14"/>
        <v>250001</v>
      </c>
      <c r="C324" s="1"/>
      <c r="D324" s="27">
        <f t="shared" si="15"/>
        <v>55</v>
      </c>
      <c r="E324" s="33">
        <v>43683</v>
      </c>
      <c r="F324" s="82">
        <v>477073</v>
      </c>
      <c r="G324" s="25">
        <v>25000</v>
      </c>
      <c r="H324" s="28"/>
      <c r="I324" s="1">
        <f t="shared" si="13"/>
        <v>1</v>
      </c>
      <c r="J324" s="2"/>
      <c r="K324" s="2"/>
    </row>
    <row r="325" spans="1:11" s="76" customFormat="1" ht="27" customHeight="1">
      <c r="A325" s="1">
        <f t="shared" si="12"/>
        <v>60773</v>
      </c>
      <c r="B325" s="1" t="str">
        <f t="shared" si="14"/>
        <v>250001</v>
      </c>
      <c r="C325" s="1"/>
      <c r="D325" s="27">
        <f t="shared" si="15"/>
        <v>56</v>
      </c>
      <c r="E325" s="33">
        <v>43683</v>
      </c>
      <c r="F325" s="82">
        <v>481967</v>
      </c>
      <c r="G325" s="25">
        <v>25000</v>
      </c>
      <c r="H325" s="28"/>
      <c r="I325" s="1">
        <f t="shared" si="13"/>
        <v>1</v>
      </c>
      <c r="J325" s="2"/>
      <c r="K325" s="2"/>
    </row>
    <row r="326" spans="1:11" s="76" customFormat="1" ht="27" customHeight="1">
      <c r="A326" s="1">
        <f t="shared" si="12"/>
        <v>60773</v>
      </c>
      <c r="B326" s="1" t="str">
        <f t="shared" si="14"/>
        <v>250001</v>
      </c>
      <c r="C326" s="1"/>
      <c r="D326" s="27">
        <f t="shared" si="15"/>
        <v>57</v>
      </c>
      <c r="E326" s="33">
        <v>43684</v>
      </c>
      <c r="F326" s="82">
        <v>487229</v>
      </c>
      <c r="G326" s="25">
        <v>25000</v>
      </c>
      <c r="H326" s="28"/>
      <c r="I326" s="1">
        <f t="shared" si="13"/>
        <v>1</v>
      </c>
      <c r="J326" s="2"/>
      <c r="K326" s="2"/>
    </row>
    <row r="327" spans="1:11" s="76" customFormat="1" ht="27" customHeight="1">
      <c r="A327" s="1">
        <f t="shared" si="12"/>
        <v>60773</v>
      </c>
      <c r="B327" s="1" t="str">
        <f t="shared" si="14"/>
        <v>250001</v>
      </c>
      <c r="C327" s="1"/>
      <c r="D327" s="27">
        <f t="shared" si="15"/>
        <v>58</v>
      </c>
      <c r="E327" s="33">
        <v>43684</v>
      </c>
      <c r="F327" s="82">
        <v>471907</v>
      </c>
      <c r="G327" s="25">
        <v>25000</v>
      </c>
      <c r="H327" s="28"/>
      <c r="I327" s="1">
        <f t="shared" si="13"/>
        <v>1</v>
      </c>
      <c r="J327" s="2"/>
      <c r="K327" s="2"/>
    </row>
    <row r="328" spans="1:11" s="76" customFormat="1" ht="27" customHeight="1">
      <c r="A328" s="1">
        <f t="shared" si="12"/>
        <v>60773</v>
      </c>
      <c r="B328" s="1" t="str">
        <f t="shared" si="14"/>
        <v>250001</v>
      </c>
      <c r="C328" s="1"/>
      <c r="D328" s="27">
        <f t="shared" si="15"/>
        <v>59</v>
      </c>
      <c r="E328" s="33">
        <v>43692</v>
      </c>
      <c r="F328" s="82">
        <v>559737</v>
      </c>
      <c r="G328" s="25">
        <v>25000</v>
      </c>
      <c r="H328" s="28"/>
      <c r="I328" s="1">
        <f t="shared" si="13"/>
        <v>1</v>
      </c>
      <c r="J328" s="2"/>
      <c r="K328" s="2"/>
    </row>
    <row r="329" spans="1:11" s="76" customFormat="1" ht="27" customHeight="1">
      <c r="A329" s="1">
        <f t="shared" si="12"/>
        <v>60773</v>
      </c>
      <c r="B329" s="1" t="str">
        <f t="shared" si="14"/>
        <v>250001</v>
      </c>
      <c r="C329" s="1"/>
      <c r="D329" s="27">
        <f t="shared" si="15"/>
        <v>60</v>
      </c>
      <c r="E329" s="33">
        <v>43692</v>
      </c>
      <c r="F329" s="82">
        <v>553373</v>
      </c>
      <c r="G329" s="25">
        <v>25000</v>
      </c>
      <c r="H329" s="28"/>
      <c r="I329" s="1">
        <f t="shared" si="13"/>
        <v>1</v>
      </c>
      <c r="J329" s="2"/>
      <c r="K329" s="2"/>
    </row>
    <row r="330" spans="1:11" s="76" customFormat="1" ht="27" customHeight="1">
      <c r="A330" s="1">
        <f t="shared" si="12"/>
        <v>60773</v>
      </c>
      <c r="B330" s="1" t="str">
        <f t="shared" si="14"/>
        <v>250001</v>
      </c>
      <c r="C330" s="1"/>
      <c r="D330" s="27">
        <f t="shared" si="15"/>
        <v>61</v>
      </c>
      <c r="E330" s="33">
        <v>43696</v>
      </c>
      <c r="F330" s="82">
        <v>561654</v>
      </c>
      <c r="G330" s="25">
        <v>25000</v>
      </c>
      <c r="H330" s="28"/>
      <c r="I330" s="1">
        <f t="shared" si="13"/>
        <v>1</v>
      </c>
      <c r="J330" s="2"/>
      <c r="K330" s="2"/>
    </row>
    <row r="331" spans="1:11" s="76" customFormat="1" ht="27" customHeight="1">
      <c r="A331" s="1">
        <f t="shared" si="12"/>
        <v>60773</v>
      </c>
      <c r="B331" s="1" t="str">
        <f t="shared" si="14"/>
        <v>250001</v>
      </c>
      <c r="C331" s="1"/>
      <c r="D331" s="27">
        <f t="shared" si="15"/>
        <v>62</v>
      </c>
      <c r="E331" s="33">
        <v>43696</v>
      </c>
      <c r="F331" s="82">
        <v>564897</v>
      </c>
      <c r="G331" s="25">
        <v>25000</v>
      </c>
      <c r="H331" s="28"/>
      <c r="I331" s="1">
        <f t="shared" si="13"/>
        <v>1</v>
      </c>
      <c r="J331" s="2"/>
      <c r="K331" s="2"/>
    </row>
    <row r="332" spans="1:11" s="76" customFormat="1" ht="27" hidden="1" customHeight="1">
      <c r="A332" s="1">
        <f t="shared" ref="A332:A363" si="16">A331</f>
        <v>60773</v>
      </c>
      <c r="B332" s="1" t="str">
        <f t="shared" si="14"/>
        <v>0</v>
      </c>
      <c r="C332" s="1"/>
      <c r="D332" s="27">
        <f t="shared" si="15"/>
        <v>62</v>
      </c>
      <c r="E332" s="33"/>
      <c r="F332" s="82"/>
      <c r="G332" s="25"/>
      <c r="H332" s="28"/>
      <c r="I332" s="1">
        <f t="shared" si="13"/>
        <v>0</v>
      </c>
      <c r="J332" s="2"/>
      <c r="K332" s="2"/>
    </row>
    <row r="333" spans="1:11" s="76" customFormat="1" ht="27" hidden="1" customHeight="1">
      <c r="A333" s="1">
        <f t="shared" si="16"/>
        <v>60773</v>
      </c>
      <c r="B333" s="1" t="str">
        <f t="shared" si="14"/>
        <v>0</v>
      </c>
      <c r="C333" s="1"/>
      <c r="D333" s="27">
        <f t="shared" si="15"/>
        <v>62</v>
      </c>
      <c r="E333" s="33"/>
      <c r="F333" s="82"/>
      <c r="G333" s="25"/>
      <c r="H333" s="28"/>
      <c r="I333" s="1">
        <f t="shared" si="13"/>
        <v>0</v>
      </c>
      <c r="J333" s="2"/>
      <c r="K333" s="2"/>
    </row>
    <row r="334" spans="1:11" s="76" customFormat="1" ht="27" hidden="1" customHeight="1">
      <c r="A334" s="1">
        <f t="shared" si="16"/>
        <v>60773</v>
      </c>
      <c r="B334" s="1" t="str">
        <f t="shared" si="14"/>
        <v>0</v>
      </c>
      <c r="C334" s="1"/>
      <c r="D334" s="27">
        <f t="shared" si="15"/>
        <v>62</v>
      </c>
      <c r="E334" s="33"/>
      <c r="F334" s="82"/>
      <c r="G334" s="25"/>
      <c r="H334" s="28"/>
      <c r="I334" s="1">
        <f t="shared" si="13"/>
        <v>0</v>
      </c>
      <c r="J334" s="2"/>
      <c r="K334" s="2"/>
    </row>
    <row r="335" spans="1:11" s="76" customFormat="1" ht="27" hidden="1" customHeight="1">
      <c r="A335" s="1">
        <f t="shared" si="16"/>
        <v>60773</v>
      </c>
      <c r="B335" s="1" t="str">
        <f t="shared" si="14"/>
        <v>0</v>
      </c>
      <c r="C335" s="1"/>
      <c r="D335" s="27">
        <f t="shared" si="15"/>
        <v>62</v>
      </c>
      <c r="E335" s="33"/>
      <c r="F335" s="82"/>
      <c r="G335" s="25"/>
      <c r="H335" s="28"/>
      <c r="I335" s="1">
        <f t="shared" ref="I335:I363" si="17">IF(AND(E335&gt;=$J$6,E335&lt;=$K$6,A335=$I$6),1,0)</f>
        <v>0</v>
      </c>
      <c r="J335" s="2"/>
      <c r="K335" s="2"/>
    </row>
    <row r="336" spans="1:11" s="76" customFormat="1" ht="27" hidden="1" customHeight="1">
      <c r="A336" s="1">
        <f t="shared" si="16"/>
        <v>60773</v>
      </c>
      <c r="B336" s="1" t="str">
        <f t="shared" si="14"/>
        <v>0</v>
      </c>
      <c r="C336" s="1"/>
      <c r="D336" s="27">
        <f t="shared" si="15"/>
        <v>62</v>
      </c>
      <c r="E336" s="33"/>
      <c r="F336" s="82"/>
      <c r="G336" s="25"/>
      <c r="H336" s="28"/>
      <c r="I336" s="1">
        <f t="shared" si="17"/>
        <v>0</v>
      </c>
      <c r="J336" s="2"/>
      <c r="K336" s="2"/>
    </row>
    <row r="337" spans="1:11" s="76" customFormat="1" ht="27" hidden="1" customHeight="1">
      <c r="A337" s="1">
        <f t="shared" si="16"/>
        <v>60773</v>
      </c>
      <c r="B337" s="1" t="str">
        <f t="shared" si="14"/>
        <v>0</v>
      </c>
      <c r="C337" s="1"/>
      <c r="D337" s="27">
        <f t="shared" si="15"/>
        <v>62</v>
      </c>
      <c r="E337" s="33"/>
      <c r="F337" s="82"/>
      <c r="G337" s="25"/>
      <c r="H337" s="28"/>
      <c r="I337" s="1">
        <f t="shared" si="17"/>
        <v>0</v>
      </c>
      <c r="J337" s="2"/>
      <c r="K337" s="2"/>
    </row>
    <row r="338" spans="1:11" s="76" customFormat="1" ht="27" hidden="1" customHeight="1">
      <c r="A338" s="1">
        <f t="shared" si="16"/>
        <v>60773</v>
      </c>
      <c r="B338" s="1" t="str">
        <f t="shared" si="14"/>
        <v>0</v>
      </c>
      <c r="C338" s="1"/>
      <c r="D338" s="27">
        <f t="shared" si="15"/>
        <v>62</v>
      </c>
      <c r="E338" s="33"/>
      <c r="F338" s="82"/>
      <c r="G338" s="25"/>
      <c r="H338" s="28"/>
      <c r="I338" s="1">
        <f t="shared" si="17"/>
        <v>0</v>
      </c>
      <c r="J338" s="2"/>
      <c r="K338" s="2"/>
    </row>
    <row r="339" spans="1:11" s="76" customFormat="1" ht="27" hidden="1" customHeight="1">
      <c r="A339" s="1">
        <f t="shared" si="16"/>
        <v>60773</v>
      </c>
      <c r="B339" s="1" t="str">
        <f t="shared" si="14"/>
        <v>0</v>
      </c>
      <c r="C339" s="1"/>
      <c r="D339" s="27">
        <f t="shared" si="15"/>
        <v>62</v>
      </c>
      <c r="E339" s="33"/>
      <c r="F339" s="82"/>
      <c r="G339" s="25"/>
      <c r="H339" s="28"/>
      <c r="I339" s="1">
        <f t="shared" si="17"/>
        <v>0</v>
      </c>
      <c r="J339" s="2"/>
      <c r="K339" s="2"/>
    </row>
    <row r="340" spans="1:11" s="76" customFormat="1" ht="27" hidden="1" customHeight="1">
      <c r="A340" s="1">
        <f t="shared" si="16"/>
        <v>60773</v>
      </c>
      <c r="B340" s="1" t="str">
        <f t="shared" si="14"/>
        <v>0</v>
      </c>
      <c r="C340" s="1"/>
      <c r="D340" s="27">
        <f t="shared" si="15"/>
        <v>62</v>
      </c>
      <c r="E340" s="33"/>
      <c r="F340" s="82"/>
      <c r="G340" s="25"/>
      <c r="H340" s="28"/>
      <c r="I340" s="1">
        <f t="shared" si="17"/>
        <v>0</v>
      </c>
      <c r="J340" s="2"/>
      <c r="K340" s="2"/>
    </row>
    <row r="341" spans="1:11" s="76" customFormat="1" ht="27" hidden="1" customHeight="1">
      <c r="A341" s="1">
        <f t="shared" si="16"/>
        <v>60773</v>
      </c>
      <c r="B341" s="1" t="str">
        <f t="shared" si="14"/>
        <v>0</v>
      </c>
      <c r="C341" s="1"/>
      <c r="D341" s="27">
        <f t="shared" si="15"/>
        <v>62</v>
      </c>
      <c r="E341" s="33"/>
      <c r="F341" s="82"/>
      <c r="G341" s="25"/>
      <c r="H341" s="28"/>
      <c r="I341" s="1">
        <f t="shared" si="17"/>
        <v>0</v>
      </c>
      <c r="J341" s="2"/>
      <c r="K341" s="2"/>
    </row>
    <row r="342" spans="1:11" s="76" customFormat="1" ht="27" hidden="1" customHeight="1">
      <c r="A342" s="1">
        <f t="shared" si="16"/>
        <v>60773</v>
      </c>
      <c r="B342" s="1" t="str">
        <f t="shared" si="14"/>
        <v>0</v>
      </c>
      <c r="C342" s="1"/>
      <c r="D342" s="27">
        <f t="shared" si="15"/>
        <v>62</v>
      </c>
      <c r="E342" s="33"/>
      <c r="F342" s="82"/>
      <c r="G342" s="25"/>
      <c r="H342" s="28"/>
      <c r="I342" s="1">
        <f t="shared" si="17"/>
        <v>0</v>
      </c>
      <c r="J342" s="2"/>
      <c r="K342" s="2"/>
    </row>
    <row r="343" spans="1:11" s="76" customFormat="1" ht="27" hidden="1" customHeight="1">
      <c r="A343" s="1">
        <f t="shared" si="16"/>
        <v>60773</v>
      </c>
      <c r="B343" s="1" t="str">
        <f t="shared" si="14"/>
        <v>0</v>
      </c>
      <c r="C343" s="1"/>
      <c r="D343" s="27">
        <f t="shared" si="15"/>
        <v>62</v>
      </c>
      <c r="E343" s="33"/>
      <c r="F343" s="82"/>
      <c r="G343" s="25"/>
      <c r="H343" s="28"/>
      <c r="I343" s="1">
        <f t="shared" si="17"/>
        <v>0</v>
      </c>
      <c r="J343" s="2"/>
      <c r="K343" s="2"/>
    </row>
    <row r="344" spans="1:11" s="76" customFormat="1" ht="27" hidden="1" customHeight="1">
      <c r="A344" s="1">
        <f t="shared" si="16"/>
        <v>60773</v>
      </c>
      <c r="B344" s="1" t="str">
        <f t="shared" si="14"/>
        <v>0</v>
      </c>
      <c r="C344" s="1"/>
      <c r="D344" s="27">
        <f t="shared" si="15"/>
        <v>62</v>
      </c>
      <c r="E344" s="33"/>
      <c r="F344" s="82"/>
      <c r="G344" s="25"/>
      <c r="H344" s="28"/>
      <c r="I344" s="1">
        <f t="shared" si="17"/>
        <v>0</v>
      </c>
      <c r="J344" s="2"/>
      <c r="K344" s="2"/>
    </row>
    <row r="345" spans="1:11" s="76" customFormat="1" ht="27" hidden="1" customHeight="1">
      <c r="A345" s="1">
        <f t="shared" si="16"/>
        <v>60773</v>
      </c>
      <c r="B345" s="1" t="str">
        <f t="shared" si="14"/>
        <v>0</v>
      </c>
      <c r="C345" s="1"/>
      <c r="D345" s="27">
        <f t="shared" si="15"/>
        <v>62</v>
      </c>
      <c r="E345" s="33"/>
      <c r="F345" s="82"/>
      <c r="G345" s="25"/>
      <c r="H345" s="28"/>
      <c r="I345" s="1">
        <f t="shared" si="17"/>
        <v>0</v>
      </c>
      <c r="J345" s="2"/>
      <c r="K345" s="2"/>
    </row>
    <row r="346" spans="1:11" s="76" customFormat="1" ht="27" hidden="1" customHeight="1">
      <c r="A346" s="1">
        <f t="shared" si="16"/>
        <v>60773</v>
      </c>
      <c r="B346" s="1" t="str">
        <f t="shared" si="14"/>
        <v>0</v>
      </c>
      <c r="C346" s="1"/>
      <c r="D346" s="27">
        <f t="shared" si="15"/>
        <v>62</v>
      </c>
      <c r="E346" s="33"/>
      <c r="F346" s="82"/>
      <c r="G346" s="25"/>
      <c r="H346" s="28"/>
      <c r="I346" s="1">
        <f t="shared" si="17"/>
        <v>0</v>
      </c>
      <c r="J346" s="2"/>
      <c r="K346" s="2"/>
    </row>
    <row r="347" spans="1:11" s="76" customFormat="1" ht="27" hidden="1" customHeight="1">
      <c r="A347" s="1">
        <f t="shared" si="16"/>
        <v>60773</v>
      </c>
      <c r="B347" s="1" t="str">
        <f t="shared" si="14"/>
        <v>0</v>
      </c>
      <c r="C347" s="1"/>
      <c r="D347" s="27">
        <f t="shared" si="15"/>
        <v>62</v>
      </c>
      <c r="E347" s="33"/>
      <c r="F347" s="82"/>
      <c r="G347" s="25"/>
      <c r="H347" s="28"/>
      <c r="I347" s="1">
        <f t="shared" si="17"/>
        <v>0</v>
      </c>
      <c r="J347" s="2"/>
      <c r="K347" s="2"/>
    </row>
    <row r="348" spans="1:11" s="76" customFormat="1" ht="27" hidden="1" customHeight="1">
      <c r="A348" s="1">
        <f t="shared" si="16"/>
        <v>60773</v>
      </c>
      <c r="B348" s="1" t="str">
        <f t="shared" si="14"/>
        <v>0</v>
      </c>
      <c r="C348" s="1"/>
      <c r="D348" s="27">
        <f t="shared" si="15"/>
        <v>62</v>
      </c>
      <c r="E348" s="33"/>
      <c r="F348" s="82"/>
      <c r="G348" s="25"/>
      <c r="H348" s="28"/>
      <c r="I348" s="1">
        <f t="shared" si="17"/>
        <v>0</v>
      </c>
      <c r="J348" s="2"/>
      <c r="K348" s="2"/>
    </row>
    <row r="349" spans="1:11" s="76" customFormat="1" ht="27" hidden="1" customHeight="1">
      <c r="A349" s="1">
        <f t="shared" si="16"/>
        <v>60773</v>
      </c>
      <c r="B349" s="1" t="str">
        <f t="shared" si="14"/>
        <v>0</v>
      </c>
      <c r="C349" s="1"/>
      <c r="D349" s="27">
        <f t="shared" si="15"/>
        <v>62</v>
      </c>
      <c r="E349" s="33"/>
      <c r="F349" s="82"/>
      <c r="G349" s="25"/>
      <c r="H349" s="28"/>
      <c r="I349" s="1">
        <f t="shared" si="17"/>
        <v>0</v>
      </c>
      <c r="J349" s="2"/>
      <c r="K349" s="2"/>
    </row>
    <row r="350" spans="1:11" s="76" customFormat="1" ht="27" hidden="1" customHeight="1">
      <c r="A350" s="1">
        <f t="shared" si="16"/>
        <v>60773</v>
      </c>
      <c r="B350" s="1" t="str">
        <f t="shared" si="14"/>
        <v>0</v>
      </c>
      <c r="C350" s="1"/>
      <c r="D350" s="27">
        <f t="shared" si="15"/>
        <v>62</v>
      </c>
      <c r="E350" s="33"/>
      <c r="F350" s="82"/>
      <c r="G350" s="25"/>
      <c r="H350" s="28"/>
      <c r="I350" s="1">
        <f t="shared" si="17"/>
        <v>0</v>
      </c>
      <c r="J350" s="2"/>
      <c r="K350" s="2"/>
    </row>
    <row r="351" spans="1:11" s="76" customFormat="1" ht="27" hidden="1" customHeight="1">
      <c r="A351" s="1">
        <f t="shared" si="16"/>
        <v>60773</v>
      </c>
      <c r="B351" s="1" t="str">
        <f t="shared" si="14"/>
        <v>0</v>
      </c>
      <c r="C351" s="1"/>
      <c r="D351" s="27">
        <f t="shared" si="15"/>
        <v>62</v>
      </c>
      <c r="E351" s="33"/>
      <c r="F351" s="82"/>
      <c r="G351" s="25"/>
      <c r="H351" s="28"/>
      <c r="I351" s="1">
        <f t="shared" si="17"/>
        <v>0</v>
      </c>
      <c r="J351" s="2"/>
      <c r="K351" s="2"/>
    </row>
    <row r="352" spans="1:11" s="76" customFormat="1" ht="27" hidden="1" customHeight="1">
      <c r="A352" s="1">
        <f t="shared" si="16"/>
        <v>60773</v>
      </c>
      <c r="B352" s="1" t="str">
        <f t="shared" si="14"/>
        <v>0</v>
      </c>
      <c r="C352" s="1"/>
      <c r="D352" s="27">
        <f t="shared" si="15"/>
        <v>62</v>
      </c>
      <c r="E352" s="33"/>
      <c r="F352" s="82"/>
      <c r="G352" s="25"/>
      <c r="H352" s="28"/>
      <c r="I352" s="1">
        <f t="shared" si="17"/>
        <v>0</v>
      </c>
      <c r="J352" s="2"/>
      <c r="K352" s="2"/>
    </row>
    <row r="353" spans="1:12" s="76" customFormat="1" ht="27" hidden="1" customHeight="1">
      <c r="A353" s="1">
        <f t="shared" si="16"/>
        <v>60773</v>
      </c>
      <c r="B353" s="1" t="str">
        <f t="shared" si="14"/>
        <v>0</v>
      </c>
      <c r="C353" s="1"/>
      <c r="D353" s="27">
        <f t="shared" si="15"/>
        <v>62</v>
      </c>
      <c r="E353" s="33"/>
      <c r="F353" s="82"/>
      <c r="G353" s="25"/>
      <c r="H353" s="28"/>
      <c r="I353" s="1">
        <f t="shared" si="17"/>
        <v>0</v>
      </c>
      <c r="J353" s="2"/>
      <c r="K353" s="2"/>
    </row>
    <row r="354" spans="1:12" s="76" customFormat="1" ht="27" hidden="1" customHeight="1">
      <c r="A354" s="1">
        <f t="shared" si="16"/>
        <v>60773</v>
      </c>
      <c r="B354" s="1" t="str">
        <f t="shared" si="14"/>
        <v>0</v>
      </c>
      <c r="C354" s="1"/>
      <c r="D354" s="27">
        <f t="shared" si="15"/>
        <v>62</v>
      </c>
      <c r="E354" s="33"/>
      <c r="F354" s="82"/>
      <c r="G354" s="25"/>
      <c r="H354" s="28"/>
      <c r="I354" s="1">
        <f t="shared" si="17"/>
        <v>0</v>
      </c>
      <c r="J354" s="2"/>
      <c r="K354" s="2"/>
    </row>
    <row r="355" spans="1:12" ht="27" hidden="1" customHeight="1">
      <c r="A355" s="1">
        <f t="shared" si="16"/>
        <v>60773</v>
      </c>
      <c r="B355" s="1" t="str">
        <f t="shared" si="0"/>
        <v>0</v>
      </c>
      <c r="C355" s="1"/>
      <c r="D355" s="8">
        <f t="shared" si="1"/>
        <v>62</v>
      </c>
      <c r="E355" s="33"/>
      <c r="F355" s="82"/>
      <c r="G355" s="25"/>
      <c r="H355" s="10"/>
      <c r="I355" s="1">
        <f t="shared" si="17"/>
        <v>0</v>
      </c>
      <c r="J355" s="2"/>
      <c r="K355" s="2"/>
    </row>
    <row r="356" spans="1:12" ht="27" hidden="1" customHeight="1">
      <c r="A356" s="1">
        <f t="shared" si="16"/>
        <v>60773</v>
      </c>
      <c r="B356" s="1" t="str">
        <f t="shared" si="0"/>
        <v>0</v>
      </c>
      <c r="C356" s="1"/>
      <c r="D356" s="8">
        <f t="shared" si="1"/>
        <v>62</v>
      </c>
      <c r="E356" s="33"/>
      <c r="F356" s="82"/>
      <c r="G356" s="25"/>
      <c r="H356" s="10"/>
      <c r="I356" s="1">
        <f t="shared" si="17"/>
        <v>0</v>
      </c>
      <c r="J356" s="2"/>
      <c r="K356" s="2"/>
    </row>
    <row r="357" spans="1:12" ht="27" hidden="1" customHeight="1">
      <c r="A357" s="1">
        <f t="shared" si="16"/>
        <v>60773</v>
      </c>
      <c r="B357" s="1" t="str">
        <f t="shared" si="0"/>
        <v>0</v>
      </c>
      <c r="C357" s="1"/>
      <c r="D357" s="8">
        <f t="shared" si="1"/>
        <v>62</v>
      </c>
      <c r="E357" s="33"/>
      <c r="F357" s="82"/>
      <c r="G357" s="25"/>
      <c r="H357" s="10"/>
      <c r="I357" s="1">
        <f t="shared" si="17"/>
        <v>0</v>
      </c>
      <c r="J357" s="2"/>
      <c r="K357" s="2"/>
    </row>
    <row r="358" spans="1:12" ht="27" hidden="1" customHeight="1">
      <c r="A358" s="1">
        <f t="shared" si="16"/>
        <v>60773</v>
      </c>
      <c r="B358" s="1" t="str">
        <f t="shared" si="0"/>
        <v>0</v>
      </c>
      <c r="C358" s="1"/>
      <c r="D358" s="8">
        <f t="shared" si="1"/>
        <v>62</v>
      </c>
      <c r="E358" s="33"/>
      <c r="F358" s="82"/>
      <c r="G358" s="25"/>
      <c r="H358" s="10"/>
      <c r="I358" s="1">
        <f t="shared" si="17"/>
        <v>0</v>
      </c>
      <c r="J358" s="2"/>
      <c r="K358" s="2"/>
    </row>
    <row r="359" spans="1:12" ht="27" hidden="1" customHeight="1">
      <c r="A359" s="1">
        <f t="shared" si="16"/>
        <v>60773</v>
      </c>
      <c r="B359" s="1" t="str">
        <f t="shared" si="0"/>
        <v>0</v>
      </c>
      <c r="C359" s="1"/>
      <c r="D359" s="8">
        <f t="shared" si="1"/>
        <v>62</v>
      </c>
      <c r="E359" s="33"/>
      <c r="F359" s="82"/>
      <c r="G359" s="25"/>
      <c r="H359" s="10"/>
      <c r="I359" s="1">
        <f t="shared" si="17"/>
        <v>0</v>
      </c>
      <c r="J359" s="2"/>
      <c r="K359" s="2"/>
    </row>
    <row r="360" spans="1:12" ht="27" hidden="1" customHeight="1">
      <c r="A360" s="1">
        <f t="shared" si="16"/>
        <v>60773</v>
      </c>
      <c r="B360" s="1" t="str">
        <f t="shared" si="0"/>
        <v>0</v>
      </c>
      <c r="C360" s="1"/>
      <c r="D360" s="8">
        <f t="shared" si="1"/>
        <v>62</v>
      </c>
      <c r="E360" s="33"/>
      <c r="F360" s="82"/>
      <c r="G360" s="25"/>
      <c r="H360" s="10"/>
      <c r="I360" s="1">
        <f t="shared" si="17"/>
        <v>0</v>
      </c>
      <c r="J360" s="2"/>
      <c r="K360" s="2"/>
    </row>
    <row r="361" spans="1:12" ht="27" hidden="1" customHeight="1">
      <c r="A361" s="1">
        <f t="shared" si="16"/>
        <v>60773</v>
      </c>
      <c r="B361" s="1" t="str">
        <f t="shared" si="0"/>
        <v>0</v>
      </c>
      <c r="C361" s="1"/>
      <c r="D361" s="8">
        <f t="shared" si="1"/>
        <v>62</v>
      </c>
      <c r="E361" s="33"/>
      <c r="F361" s="82"/>
      <c r="G361" s="25"/>
      <c r="H361" s="10"/>
      <c r="I361" s="1">
        <f t="shared" si="17"/>
        <v>0</v>
      </c>
      <c r="J361" s="2"/>
      <c r="K361" s="2"/>
    </row>
    <row r="362" spans="1:12" ht="27" hidden="1" customHeight="1">
      <c r="A362" s="1">
        <f t="shared" si="16"/>
        <v>60773</v>
      </c>
      <c r="B362" s="1" t="str">
        <f t="shared" si="0"/>
        <v>0</v>
      </c>
      <c r="C362" s="1"/>
      <c r="D362" s="8">
        <f t="shared" si="1"/>
        <v>62</v>
      </c>
      <c r="E362" s="33"/>
      <c r="F362" s="82"/>
      <c r="G362" s="25"/>
      <c r="H362" s="10"/>
      <c r="I362" s="1">
        <f t="shared" si="17"/>
        <v>0</v>
      </c>
      <c r="J362" s="2"/>
      <c r="K362" s="2"/>
    </row>
    <row r="363" spans="1:12" ht="27" hidden="1" customHeight="1">
      <c r="A363" s="1">
        <f t="shared" si="16"/>
        <v>60773</v>
      </c>
      <c r="B363" s="1" t="str">
        <f t="shared" si="0"/>
        <v>0</v>
      </c>
      <c r="C363" s="1"/>
      <c r="D363" s="8">
        <f t="shared" si="1"/>
        <v>62</v>
      </c>
      <c r="E363" s="33"/>
      <c r="F363" s="82"/>
      <c r="G363" s="25"/>
      <c r="H363" s="10"/>
      <c r="I363" s="1">
        <f t="shared" si="17"/>
        <v>0</v>
      </c>
      <c r="J363" s="2"/>
      <c r="K363" s="2"/>
    </row>
    <row r="364" spans="1:12" ht="27" customHeight="1">
      <c r="A364" s="1"/>
      <c r="B364" s="1"/>
      <c r="C364" s="1"/>
      <c r="D364" s="155" t="s">
        <v>60</v>
      </c>
      <c r="E364" s="148"/>
      <c r="F364" s="148"/>
      <c r="G364" s="31">
        <f>SUMIF(I:I,1,G:G)</f>
        <v>2000000</v>
      </c>
      <c r="H364" s="32"/>
      <c r="I364" s="1"/>
      <c r="J364" s="2"/>
      <c r="K364" s="2"/>
      <c r="L364" s="26">
        <f>SUMIF(I:I,1,G:G)</f>
        <v>2000000</v>
      </c>
    </row>
    <row r="365" spans="1:12" s="46" customFormat="1" ht="28.5" customHeight="1">
      <c r="A365" s="43"/>
      <c r="B365" s="43"/>
      <c r="C365" s="43"/>
      <c r="D365" s="43" t="str">
        <f>REPT(" ",10)&amp;"Bằng chữ: "&amp;[1]!vnd(G364)&amp;"."</f>
        <v xml:space="preserve">          Bằng chữ: Hai triệu đồng chẵn.</v>
      </c>
      <c r="E365" s="44"/>
      <c r="F365" s="43"/>
      <c r="G365" s="43"/>
      <c r="H365" s="43"/>
      <c r="I365" s="43"/>
      <c r="J365" s="45"/>
      <c r="K365" s="45"/>
    </row>
    <row r="366" spans="1:12" ht="23.4" customHeight="1">
      <c r="A366" s="19"/>
      <c r="B366" s="19"/>
      <c r="C366" s="19"/>
      <c r="D366" s="19"/>
      <c r="E366" s="41" t="s">
        <v>61</v>
      </c>
      <c r="F366" s="19"/>
      <c r="G366" s="142" t="str">
        <f>TTrCDB!$G$21</f>
        <v>PHÓ TRƯỞNG PHÒNG</v>
      </c>
      <c r="H366" s="144"/>
      <c r="I366" s="19">
        <v>1</v>
      </c>
      <c r="J366" s="19"/>
      <c r="K366" s="19"/>
    </row>
    <row r="367" spans="1:12" ht="16.5" customHeight="1">
      <c r="A367" s="19"/>
      <c r="B367" s="19"/>
      <c r="C367" s="19"/>
      <c r="D367" s="19"/>
      <c r="E367" s="41"/>
      <c r="F367" s="19"/>
      <c r="G367" s="19"/>
      <c r="H367" s="19"/>
      <c r="I367" s="19"/>
      <c r="J367" s="19"/>
      <c r="K367" s="19"/>
    </row>
    <row r="368" spans="1:12" ht="16.5" customHeight="1">
      <c r="A368" s="19"/>
      <c r="B368" s="19"/>
      <c r="C368" s="19"/>
      <c r="D368" s="19"/>
      <c r="E368" s="41"/>
      <c r="F368" s="19"/>
      <c r="G368" s="19"/>
      <c r="H368" s="19"/>
      <c r="I368" s="19"/>
      <c r="J368" s="19"/>
      <c r="K368" s="19"/>
    </row>
    <row r="369" spans="1:11" ht="16.5" customHeight="1">
      <c r="A369" s="19"/>
      <c r="B369" s="19"/>
      <c r="C369" s="19"/>
      <c r="D369" s="19"/>
      <c r="E369" s="41"/>
      <c r="F369" s="19"/>
      <c r="G369" s="19"/>
      <c r="H369" s="19"/>
      <c r="I369" s="19"/>
      <c r="J369" s="19"/>
      <c r="K369" s="19"/>
    </row>
    <row r="370" spans="1:11" ht="16.5" customHeight="1">
      <c r="A370" s="19"/>
      <c r="B370" s="19"/>
      <c r="C370" s="19"/>
      <c r="D370" s="19"/>
      <c r="E370" s="41"/>
      <c r="F370" s="19"/>
      <c r="G370" s="19"/>
      <c r="H370" s="19"/>
      <c r="I370" s="19"/>
      <c r="J370" s="19"/>
      <c r="K370" s="19"/>
    </row>
    <row r="371" spans="1:11" ht="16.5" customHeight="1">
      <c r="A371" s="19"/>
      <c r="B371" s="19"/>
      <c r="C371" s="19"/>
      <c r="D371" s="19"/>
      <c r="E371" s="41"/>
      <c r="F371" s="19"/>
      <c r="G371" s="19"/>
      <c r="H371" s="19"/>
      <c r="I371" s="19"/>
      <c r="J371" s="19"/>
      <c r="K371" s="19"/>
    </row>
    <row r="372" spans="1:11" ht="22.2" customHeight="1">
      <c r="A372" s="19"/>
      <c r="B372" s="19"/>
      <c r="C372" s="19"/>
      <c r="D372" s="19"/>
      <c r="E372" s="41" t="str">
        <f>VLOOKUP("x",data!A:C,data!C$2,0)</f>
        <v>Lâm Phạm Duy</v>
      </c>
      <c r="F372" s="19"/>
      <c r="G372" s="142" t="str">
        <f>TTrCDB!$G$27</f>
        <v>Lê Ngọc Thanh</v>
      </c>
      <c r="H372" s="144"/>
      <c r="I372" s="19"/>
      <c r="J372" s="19"/>
      <c r="K372" s="19"/>
    </row>
  </sheetData>
  <autoFilter ref="B8:I363">
    <filterColumn colId="7">
      <filters>
        <filter val="1"/>
      </filters>
    </filterColumn>
  </autoFilter>
  <mergeCells count="5">
    <mergeCell ref="D364:F364"/>
    <mergeCell ref="D6:H6"/>
    <mergeCell ref="D7:H7"/>
    <mergeCell ref="G366:H366"/>
    <mergeCell ref="G372:H372"/>
  </mergeCells>
  <pageMargins left="0.98425196850393704" right="0.70866141732283505" top="0.74803149606299202" bottom="0.57999999999999996" header="0" footer="0"/>
  <pageSetup paperSize="9" orientation="portrait" blackAndWhite="1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187"/>
  <sheetViews>
    <sheetView topLeftCell="A23" workbookViewId="0">
      <selection activeCell="B168" sqref="B168"/>
    </sheetView>
  </sheetViews>
  <sheetFormatPr defaultColWidth="14.44140625" defaultRowHeight="15" customHeight="1" outlineLevelRow="1"/>
  <cols>
    <col min="1" max="1" width="9.109375" customWidth="1"/>
    <col min="2" max="2" width="13.33203125" customWidth="1"/>
    <col min="3" max="3" width="9.109375" customWidth="1"/>
    <col min="4" max="4" width="8" customWidth="1"/>
    <col min="5" max="5" width="21.6640625" customWidth="1"/>
    <col min="6" max="6" width="19.33203125" customWidth="1"/>
    <col min="7" max="7" width="16.5546875" customWidth="1"/>
    <col min="8" max="8" width="15.6640625" customWidth="1"/>
    <col min="9" max="9" width="9.109375" customWidth="1"/>
    <col min="10" max="11" width="13.5546875" customWidth="1"/>
    <col min="12" max="12" width="14.44140625" customWidth="1"/>
  </cols>
  <sheetData>
    <row r="1" spans="1:12" ht="16.5" customHeight="1" outlineLevel="1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26"/>
    </row>
    <row r="2" spans="1:12" ht="16.5" customHeight="1" outlineLevel="1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6"/>
    </row>
    <row r="3" spans="1:12" ht="16.5" customHeight="1" outlineLevel="1">
      <c r="A3" s="1"/>
      <c r="B3" s="1"/>
      <c r="C3" s="1"/>
      <c r="D3" s="1"/>
      <c r="E3" s="1"/>
      <c r="F3" s="1"/>
      <c r="G3" s="1"/>
      <c r="H3" s="1"/>
      <c r="I3" s="1"/>
      <c r="J3" s="2"/>
      <c r="K3" s="2"/>
      <c r="L3" s="26"/>
    </row>
    <row r="4" spans="1:12" ht="16.5" customHeight="1" outlineLevel="1">
      <c r="A4" s="1"/>
      <c r="B4" s="1"/>
      <c r="C4" s="1"/>
      <c r="D4" s="1"/>
      <c r="E4" s="1"/>
      <c r="F4" s="1"/>
      <c r="G4" s="1"/>
      <c r="H4" s="22" t="str">
        <f>IF(K4&lt;&gt;0,"Xuân Lộc, ngày "&amp;TEXT(K4,"dd")&amp;" tháng "&amp;TEXT(K4,"MM")&amp;" năm "&amp;TEXT(K4,"yyyy"),"Xuân Lộc, ngày        tháng        năm 2018")</f>
        <v>Xuân Lộc, ngày        tháng        năm 2018</v>
      </c>
      <c r="I4" s="1"/>
      <c r="J4" s="2"/>
      <c r="K4" s="4"/>
      <c r="L4" s="26"/>
    </row>
    <row r="5" spans="1:12" ht="16.5" customHeight="1" outlineLevel="1">
      <c r="A5" s="1"/>
      <c r="B5" s="1"/>
      <c r="C5" s="1"/>
      <c r="D5" s="1"/>
      <c r="E5" s="1"/>
      <c r="F5" s="1"/>
      <c r="G5" s="1"/>
      <c r="H5" s="1"/>
      <c r="I5" s="1"/>
      <c r="J5" s="2" t="s">
        <v>17</v>
      </c>
      <c r="K5" s="2" t="s">
        <v>3</v>
      </c>
      <c r="L5" s="26"/>
    </row>
    <row r="6" spans="1:12" ht="29.25" customHeight="1" outlineLevel="1">
      <c r="A6" s="1"/>
      <c r="B6" s="1"/>
      <c r="C6" s="1"/>
      <c r="D6" s="145" t="s">
        <v>18</v>
      </c>
      <c r="E6" s="144"/>
      <c r="F6" s="144"/>
      <c r="G6" s="144"/>
      <c r="H6" s="144"/>
      <c r="I6" s="1"/>
      <c r="J6" s="5">
        <v>43102</v>
      </c>
      <c r="K6" s="5">
        <v>43209</v>
      </c>
      <c r="L6" s="26"/>
    </row>
    <row r="7" spans="1:12" ht="26.25" hidden="1" customHeight="1">
      <c r="A7" s="23"/>
      <c r="B7" s="23"/>
      <c r="C7" s="23"/>
      <c r="D7" s="156" t="s">
        <v>19</v>
      </c>
      <c r="E7" s="144"/>
      <c r="F7" s="144"/>
      <c r="G7" s="144"/>
      <c r="H7" s="144"/>
      <c r="I7" s="23"/>
      <c r="J7" s="24"/>
      <c r="K7" s="24"/>
      <c r="L7" s="26"/>
    </row>
    <row r="8" spans="1:12" ht="34.5" customHeight="1">
      <c r="A8" s="2"/>
      <c r="B8" s="2"/>
      <c r="C8" s="2"/>
      <c r="D8" s="6" t="s">
        <v>5</v>
      </c>
      <c r="E8" s="6" t="s">
        <v>20</v>
      </c>
      <c r="F8" s="6" t="s">
        <v>21</v>
      </c>
      <c r="G8" s="7" t="s">
        <v>22</v>
      </c>
      <c r="H8" s="7" t="s">
        <v>23</v>
      </c>
      <c r="I8" s="2" t="s">
        <v>10</v>
      </c>
      <c r="J8" s="2"/>
      <c r="K8" s="2"/>
      <c r="L8" s="26"/>
    </row>
    <row r="9" spans="1:12" ht="27" customHeight="1">
      <c r="A9" s="1"/>
      <c r="B9" s="1" t="str">
        <f t="shared" ref="B9:B177" si="0">G9&amp;I9</f>
        <v>1</v>
      </c>
      <c r="C9" s="1"/>
      <c r="D9" s="8"/>
      <c r="E9" s="33"/>
      <c r="F9" s="8"/>
      <c r="G9" s="25"/>
      <c r="H9" s="10"/>
      <c r="I9" s="1">
        <v>1</v>
      </c>
      <c r="J9" s="2"/>
      <c r="K9" s="2"/>
      <c r="L9" s="26"/>
    </row>
    <row r="10" spans="1:12" ht="27" customHeight="1">
      <c r="A10" s="1"/>
      <c r="B10" s="1" t="str">
        <f t="shared" si="0"/>
        <v>1</v>
      </c>
      <c r="C10" s="1"/>
      <c r="D10" s="8"/>
      <c r="E10" s="33"/>
      <c r="F10" s="8"/>
      <c r="G10" s="25"/>
      <c r="H10" s="10"/>
      <c r="I10" s="1">
        <v>1</v>
      </c>
      <c r="J10" s="2"/>
      <c r="K10" s="2"/>
      <c r="L10" s="26"/>
    </row>
    <row r="11" spans="1:12" ht="27" customHeight="1">
      <c r="A11" s="1"/>
      <c r="B11" s="1" t="str">
        <f t="shared" si="0"/>
        <v>1</v>
      </c>
      <c r="C11" s="1"/>
      <c r="D11" s="8"/>
      <c r="E11" s="33"/>
      <c r="F11" s="8"/>
      <c r="G11" s="25"/>
      <c r="H11" s="10"/>
      <c r="I11" s="1">
        <v>1</v>
      </c>
      <c r="J11" s="2"/>
      <c r="K11" s="2"/>
      <c r="L11" s="26"/>
    </row>
    <row r="12" spans="1:12" ht="27" customHeight="1">
      <c r="A12" s="1"/>
      <c r="B12" s="1" t="str">
        <f t="shared" si="0"/>
        <v>1</v>
      </c>
      <c r="C12" s="1"/>
      <c r="D12" s="8"/>
      <c r="E12" s="33"/>
      <c r="F12" s="8"/>
      <c r="G12" s="25"/>
      <c r="H12" s="10"/>
      <c r="I12" s="1">
        <v>1</v>
      </c>
      <c r="J12" s="2"/>
      <c r="K12" s="2"/>
      <c r="L12" s="26"/>
    </row>
    <row r="13" spans="1:12" ht="27" customHeight="1">
      <c r="A13" s="1"/>
      <c r="B13" s="1" t="str">
        <f t="shared" si="0"/>
        <v>1</v>
      </c>
      <c r="C13" s="1"/>
      <c r="D13" s="8"/>
      <c r="E13" s="33"/>
      <c r="F13" s="8"/>
      <c r="G13" s="25"/>
      <c r="H13" s="10"/>
      <c r="I13" s="1">
        <v>1</v>
      </c>
      <c r="J13" s="2"/>
      <c r="K13" s="2"/>
      <c r="L13" s="26"/>
    </row>
    <row r="14" spans="1:12" ht="27" customHeight="1">
      <c r="A14" s="1"/>
      <c r="B14" s="1" t="str">
        <f t="shared" si="0"/>
        <v>1</v>
      </c>
      <c r="C14" s="1"/>
      <c r="D14" s="8"/>
      <c r="E14" s="33"/>
      <c r="F14" s="8"/>
      <c r="G14" s="25"/>
      <c r="H14" s="10"/>
      <c r="I14" s="1">
        <v>1</v>
      </c>
      <c r="J14" s="2"/>
      <c r="K14" s="2"/>
      <c r="L14" s="26"/>
    </row>
    <row r="15" spans="1:12" ht="27" customHeight="1">
      <c r="A15" s="1"/>
      <c r="B15" s="1" t="str">
        <f t="shared" si="0"/>
        <v>1</v>
      </c>
      <c r="C15" s="1"/>
      <c r="D15" s="8"/>
      <c r="E15" s="33"/>
      <c r="F15" s="8"/>
      <c r="G15" s="25"/>
      <c r="H15" s="10"/>
      <c r="I15" s="1">
        <v>1</v>
      </c>
      <c r="J15" s="2"/>
      <c r="K15" s="2"/>
      <c r="L15" s="26"/>
    </row>
    <row r="16" spans="1:12" ht="27" customHeight="1">
      <c r="A16" s="1"/>
      <c r="B16" s="1" t="str">
        <f t="shared" si="0"/>
        <v>1</v>
      </c>
      <c r="C16" s="1"/>
      <c r="D16" s="8"/>
      <c r="E16" s="33"/>
      <c r="F16" s="8"/>
      <c r="G16" s="25"/>
      <c r="H16" s="10"/>
      <c r="I16" s="1">
        <v>1</v>
      </c>
      <c r="J16" s="2">
        <v>8</v>
      </c>
      <c r="K16" s="2"/>
      <c r="L16" s="26"/>
    </row>
    <row r="17" spans="1:12" ht="27" customHeight="1">
      <c r="A17" s="1"/>
      <c r="B17" s="1" t="str">
        <f t="shared" si="0"/>
        <v>1</v>
      </c>
      <c r="C17" s="1"/>
      <c r="D17" s="8"/>
      <c r="E17" s="34"/>
      <c r="F17" s="8"/>
      <c r="G17" s="25"/>
      <c r="H17" s="10"/>
      <c r="I17" s="1">
        <v>1</v>
      </c>
      <c r="J17" s="2">
        <v>8</v>
      </c>
      <c r="K17" s="2"/>
      <c r="L17" s="26"/>
    </row>
    <row r="18" spans="1:12" ht="27" customHeight="1">
      <c r="A18" s="1"/>
      <c r="B18" s="1" t="str">
        <f t="shared" si="0"/>
        <v>1</v>
      </c>
      <c r="C18" s="1"/>
      <c r="D18" s="8"/>
      <c r="E18" s="33"/>
      <c r="F18" s="8"/>
      <c r="G18" s="25"/>
      <c r="H18" s="10"/>
      <c r="I18" s="1">
        <v>1</v>
      </c>
      <c r="J18" s="2">
        <v>9</v>
      </c>
      <c r="K18" s="2"/>
      <c r="L18" s="26"/>
    </row>
    <row r="19" spans="1:12" ht="27" customHeight="1">
      <c r="A19" s="1"/>
      <c r="B19" s="1" t="str">
        <f t="shared" si="0"/>
        <v>1</v>
      </c>
      <c r="C19" s="1"/>
      <c r="D19" s="8"/>
      <c r="E19" s="33"/>
      <c r="F19" s="8"/>
      <c r="G19" s="25"/>
      <c r="H19" s="10"/>
      <c r="I19" s="1">
        <v>1</v>
      </c>
      <c r="J19" s="2">
        <v>9</v>
      </c>
      <c r="K19" s="2"/>
      <c r="L19" s="26"/>
    </row>
    <row r="20" spans="1:12" ht="27" customHeight="1">
      <c r="A20" s="1"/>
      <c r="B20" s="1" t="str">
        <f t="shared" si="0"/>
        <v>1</v>
      </c>
      <c r="C20" s="1"/>
      <c r="D20" s="8"/>
      <c r="E20" s="33"/>
      <c r="F20" s="8"/>
      <c r="G20" s="25"/>
      <c r="H20" s="10"/>
      <c r="I20" s="1">
        <v>1</v>
      </c>
      <c r="J20" s="2">
        <v>10</v>
      </c>
      <c r="K20" s="2"/>
      <c r="L20" s="26"/>
    </row>
    <row r="21" spans="1:12" ht="27" customHeight="1">
      <c r="A21" s="1"/>
      <c r="B21" s="1" t="str">
        <f t="shared" si="0"/>
        <v>1</v>
      </c>
      <c r="C21" s="1"/>
      <c r="D21" s="8"/>
      <c r="E21" s="33"/>
      <c r="F21" s="8"/>
      <c r="G21" s="25"/>
      <c r="H21" s="10"/>
      <c r="I21" s="1">
        <v>1</v>
      </c>
      <c r="J21" s="2">
        <v>10</v>
      </c>
      <c r="K21" s="2"/>
      <c r="L21" s="26"/>
    </row>
    <row r="22" spans="1:12" ht="27" customHeight="1">
      <c r="A22" s="1"/>
      <c r="B22" s="1" t="str">
        <f t="shared" si="0"/>
        <v>1</v>
      </c>
      <c r="C22" s="1"/>
      <c r="D22" s="8"/>
      <c r="E22" s="33"/>
      <c r="F22" s="8"/>
      <c r="G22" s="25"/>
      <c r="H22" s="10"/>
      <c r="I22" s="1">
        <v>1</v>
      </c>
      <c r="J22" s="2">
        <v>11</v>
      </c>
      <c r="K22" s="2"/>
      <c r="L22" s="26"/>
    </row>
    <row r="23" spans="1:12" ht="27" customHeight="1">
      <c r="A23" s="1"/>
      <c r="B23" s="1" t="str">
        <f t="shared" si="0"/>
        <v>1</v>
      </c>
      <c r="C23" s="1"/>
      <c r="D23" s="8"/>
      <c r="E23" s="33"/>
      <c r="F23" s="8"/>
      <c r="G23" s="25"/>
      <c r="H23" s="10"/>
      <c r="I23" s="1">
        <v>1</v>
      </c>
      <c r="J23" s="2">
        <v>11</v>
      </c>
      <c r="K23" s="2"/>
      <c r="L23" s="26"/>
    </row>
    <row r="24" spans="1:12" ht="27" customHeight="1">
      <c r="A24" s="1"/>
      <c r="B24" s="1" t="str">
        <f t="shared" si="0"/>
        <v>1</v>
      </c>
      <c r="C24" s="1"/>
      <c r="D24" s="8"/>
      <c r="E24" s="33"/>
      <c r="F24" s="8"/>
      <c r="G24" s="25"/>
      <c r="H24" s="10"/>
      <c r="I24" s="1">
        <v>1</v>
      </c>
      <c r="J24" s="2">
        <v>12</v>
      </c>
      <c r="K24" s="2"/>
      <c r="L24" s="26"/>
    </row>
    <row r="25" spans="1:12" ht="27" customHeight="1">
      <c r="A25" s="1"/>
      <c r="B25" s="1" t="str">
        <f t="shared" si="0"/>
        <v>1</v>
      </c>
      <c r="C25" s="1"/>
      <c r="D25" s="8"/>
      <c r="E25" s="33"/>
      <c r="F25" s="8"/>
      <c r="G25" s="25"/>
      <c r="H25" s="10"/>
      <c r="I25" s="1">
        <v>1</v>
      </c>
      <c r="J25" s="2">
        <v>12</v>
      </c>
      <c r="K25" s="2"/>
      <c r="L25" s="26"/>
    </row>
    <row r="26" spans="1:12" ht="27" customHeight="1">
      <c r="A26" s="1"/>
      <c r="B26" s="1" t="str">
        <f t="shared" si="0"/>
        <v>1</v>
      </c>
      <c r="C26" s="1"/>
      <c r="D26" s="8"/>
      <c r="E26" s="33"/>
      <c r="F26" s="8"/>
      <c r="G26" s="25"/>
      <c r="H26" s="10"/>
      <c r="I26" s="1">
        <v>1</v>
      </c>
      <c r="J26" s="2">
        <v>13</v>
      </c>
      <c r="K26" s="2"/>
      <c r="L26" s="26"/>
    </row>
    <row r="27" spans="1:12" ht="27" customHeight="1">
      <c r="A27" s="1"/>
      <c r="B27" s="1" t="str">
        <f t="shared" si="0"/>
        <v>1</v>
      </c>
      <c r="C27" s="1"/>
      <c r="D27" s="8"/>
      <c r="E27" s="33"/>
      <c r="F27" s="8"/>
      <c r="G27" s="25"/>
      <c r="H27" s="10"/>
      <c r="I27" s="1">
        <v>1</v>
      </c>
      <c r="J27" s="2">
        <v>13</v>
      </c>
      <c r="K27" s="2"/>
      <c r="L27" s="26"/>
    </row>
    <row r="28" spans="1:12" ht="27" customHeight="1">
      <c r="A28" s="1"/>
      <c r="B28" s="1" t="str">
        <f t="shared" si="0"/>
        <v>1</v>
      </c>
      <c r="C28" s="1"/>
      <c r="D28" s="8"/>
      <c r="E28" s="33"/>
      <c r="F28" s="8"/>
      <c r="G28" s="25"/>
      <c r="H28" s="10"/>
      <c r="I28" s="1">
        <v>1</v>
      </c>
      <c r="J28" s="2"/>
      <c r="K28" s="2"/>
      <c r="L28" s="26"/>
    </row>
    <row r="29" spans="1:12" ht="27" customHeight="1">
      <c r="A29" s="1"/>
      <c r="B29" s="1" t="str">
        <f t="shared" si="0"/>
        <v>1</v>
      </c>
      <c r="C29" s="1"/>
      <c r="D29" s="8"/>
      <c r="E29" s="34"/>
      <c r="F29" s="8"/>
      <c r="G29" s="25"/>
      <c r="H29" s="10"/>
      <c r="I29" s="1">
        <v>1</v>
      </c>
      <c r="J29" s="2"/>
      <c r="K29" s="2"/>
      <c r="L29" s="26"/>
    </row>
    <row r="30" spans="1:12" ht="27" customHeight="1">
      <c r="A30" s="1"/>
      <c r="B30" s="1" t="str">
        <f t="shared" si="0"/>
        <v>1</v>
      </c>
      <c r="C30" s="1"/>
      <c r="D30" s="8"/>
      <c r="E30" s="33"/>
      <c r="F30" s="8"/>
      <c r="G30" s="25"/>
      <c r="H30" s="10"/>
      <c r="I30" s="1">
        <v>1</v>
      </c>
      <c r="J30" s="2">
        <v>14</v>
      </c>
      <c r="K30" s="2"/>
      <c r="L30" s="26"/>
    </row>
    <row r="31" spans="1:12" ht="27" hidden="1" customHeight="1">
      <c r="A31" s="1"/>
      <c r="B31" s="1" t="str">
        <f t="shared" si="0"/>
        <v>0</v>
      </c>
      <c r="C31" s="1"/>
      <c r="D31" s="8"/>
      <c r="E31" s="34"/>
      <c r="F31" s="8"/>
      <c r="G31" s="25"/>
      <c r="H31" s="10"/>
      <c r="I31" s="1">
        <f t="shared" ref="I31:I160" si="1">IF(AND(E31&gt;=$J$6,E31&lt;=$K$6,J31&gt;0),1,0)</f>
        <v>0</v>
      </c>
      <c r="J31" s="2">
        <v>14</v>
      </c>
      <c r="K31" s="2"/>
      <c r="L31" s="26"/>
    </row>
    <row r="32" spans="1:12" ht="27" hidden="1" customHeight="1">
      <c r="A32" s="1"/>
      <c r="B32" s="1" t="str">
        <f t="shared" si="0"/>
        <v>0</v>
      </c>
      <c r="C32" s="1"/>
      <c r="D32" s="8"/>
      <c r="E32" s="33"/>
      <c r="F32" s="8"/>
      <c r="G32" s="25"/>
      <c r="H32" s="10"/>
      <c r="I32" s="1">
        <f t="shared" si="1"/>
        <v>0</v>
      </c>
      <c r="J32" s="2">
        <v>15</v>
      </c>
      <c r="K32" s="2"/>
      <c r="L32" s="26"/>
    </row>
    <row r="33" spans="1:12" ht="27" hidden="1" customHeight="1">
      <c r="A33" s="1"/>
      <c r="B33" s="1" t="str">
        <f t="shared" si="0"/>
        <v>0</v>
      </c>
      <c r="C33" s="1"/>
      <c r="D33" s="8"/>
      <c r="E33" s="34"/>
      <c r="F33" s="8"/>
      <c r="G33" s="25"/>
      <c r="H33" s="10"/>
      <c r="I33" s="1">
        <f t="shared" si="1"/>
        <v>0</v>
      </c>
      <c r="J33" s="2">
        <v>15</v>
      </c>
      <c r="K33" s="2"/>
      <c r="L33" s="26"/>
    </row>
    <row r="34" spans="1:12" ht="27" hidden="1" customHeight="1">
      <c r="A34" s="1"/>
      <c r="B34" s="1" t="str">
        <f t="shared" si="0"/>
        <v>0</v>
      </c>
      <c r="C34" s="1"/>
      <c r="D34" s="8"/>
      <c r="E34" s="33"/>
      <c r="F34" s="8"/>
      <c r="G34" s="25"/>
      <c r="H34" s="10"/>
      <c r="I34" s="1">
        <f t="shared" si="1"/>
        <v>0</v>
      </c>
      <c r="J34" s="2"/>
      <c r="K34" s="2"/>
      <c r="L34" s="26"/>
    </row>
    <row r="35" spans="1:12" ht="27" hidden="1" customHeight="1">
      <c r="A35" s="1"/>
      <c r="B35" s="1" t="str">
        <f t="shared" si="0"/>
        <v>0</v>
      </c>
      <c r="C35" s="1"/>
      <c r="D35" s="8"/>
      <c r="E35" s="33"/>
      <c r="F35" s="8"/>
      <c r="G35" s="25"/>
      <c r="H35" s="10"/>
      <c r="I35" s="1">
        <f t="shared" si="1"/>
        <v>0</v>
      </c>
      <c r="J35" s="2"/>
      <c r="K35" s="2"/>
      <c r="L35" s="26"/>
    </row>
    <row r="36" spans="1:12" ht="27" hidden="1" customHeight="1">
      <c r="A36" s="1"/>
      <c r="B36" s="1" t="str">
        <f t="shared" si="0"/>
        <v>0</v>
      </c>
      <c r="C36" s="1"/>
      <c r="D36" s="8"/>
      <c r="E36" s="33"/>
      <c r="F36" s="8"/>
      <c r="G36" s="25"/>
      <c r="H36" s="10"/>
      <c r="I36" s="1">
        <f t="shared" si="1"/>
        <v>0</v>
      </c>
      <c r="J36" s="2">
        <v>16</v>
      </c>
      <c r="K36" s="2"/>
      <c r="L36" s="26"/>
    </row>
    <row r="37" spans="1:12" ht="27" hidden="1" customHeight="1">
      <c r="A37" s="1"/>
      <c r="B37" s="1" t="str">
        <f t="shared" si="0"/>
        <v>0</v>
      </c>
      <c r="C37" s="1"/>
      <c r="D37" s="8"/>
      <c r="E37" s="33"/>
      <c r="F37" s="8"/>
      <c r="G37" s="25"/>
      <c r="H37" s="10"/>
      <c r="I37" s="1">
        <f t="shared" si="1"/>
        <v>0</v>
      </c>
      <c r="J37" s="2">
        <v>16</v>
      </c>
      <c r="K37" s="2"/>
      <c r="L37" s="26"/>
    </row>
    <row r="38" spans="1:12" ht="27" hidden="1" customHeight="1">
      <c r="A38" s="1"/>
      <c r="B38" s="1" t="str">
        <f t="shared" si="0"/>
        <v>0</v>
      </c>
      <c r="C38" s="1"/>
      <c r="D38" s="8"/>
      <c r="E38" s="33"/>
      <c r="F38" s="8"/>
      <c r="G38" s="25"/>
      <c r="H38" s="10"/>
      <c r="I38" s="1">
        <f t="shared" si="1"/>
        <v>0</v>
      </c>
      <c r="J38" s="2">
        <v>17</v>
      </c>
      <c r="K38" s="2"/>
      <c r="L38" s="26"/>
    </row>
    <row r="39" spans="1:12" ht="27" hidden="1" customHeight="1">
      <c r="A39" s="1"/>
      <c r="B39" s="1" t="str">
        <f t="shared" si="0"/>
        <v>0</v>
      </c>
      <c r="C39" s="1"/>
      <c r="D39" s="8"/>
      <c r="E39" s="33"/>
      <c r="F39" s="8"/>
      <c r="G39" s="25"/>
      <c r="H39" s="10"/>
      <c r="I39" s="1">
        <f t="shared" si="1"/>
        <v>0</v>
      </c>
      <c r="J39" s="2">
        <v>17</v>
      </c>
      <c r="K39" s="2"/>
      <c r="L39" s="26"/>
    </row>
    <row r="40" spans="1:12" ht="27" hidden="1" customHeight="1">
      <c r="A40" s="1"/>
      <c r="B40" s="1" t="str">
        <f t="shared" si="0"/>
        <v>0</v>
      </c>
      <c r="C40" s="1"/>
      <c r="D40" s="8"/>
      <c r="E40" s="33"/>
      <c r="F40" s="8"/>
      <c r="G40" s="25"/>
      <c r="H40" s="10"/>
      <c r="I40" s="1">
        <f t="shared" si="1"/>
        <v>0</v>
      </c>
      <c r="J40" s="2">
        <v>18</v>
      </c>
      <c r="K40" s="2"/>
      <c r="L40" s="26"/>
    </row>
    <row r="41" spans="1:12" ht="27" hidden="1" customHeight="1">
      <c r="A41" s="1"/>
      <c r="B41" s="1" t="str">
        <f t="shared" si="0"/>
        <v>0</v>
      </c>
      <c r="C41" s="1"/>
      <c r="D41" s="8"/>
      <c r="E41" s="33"/>
      <c r="F41" s="8"/>
      <c r="G41" s="25"/>
      <c r="H41" s="10"/>
      <c r="I41" s="1">
        <f t="shared" si="1"/>
        <v>0</v>
      </c>
      <c r="J41" s="2">
        <v>18</v>
      </c>
      <c r="K41" s="2"/>
      <c r="L41" s="26"/>
    </row>
    <row r="42" spans="1:12" ht="27" hidden="1" customHeight="1">
      <c r="A42" s="1"/>
      <c r="B42" s="1" t="str">
        <f t="shared" si="0"/>
        <v>0</v>
      </c>
      <c r="C42" s="1"/>
      <c r="D42" s="8"/>
      <c r="E42" s="33"/>
      <c r="F42" s="8"/>
      <c r="G42" s="25"/>
      <c r="H42" s="10"/>
      <c r="I42" s="1">
        <f t="shared" si="1"/>
        <v>0</v>
      </c>
      <c r="J42" s="2">
        <v>19</v>
      </c>
      <c r="K42" s="2"/>
      <c r="L42" s="26"/>
    </row>
    <row r="43" spans="1:12" ht="27" hidden="1" customHeight="1">
      <c r="A43" s="1"/>
      <c r="B43" s="1" t="str">
        <f t="shared" si="0"/>
        <v>0</v>
      </c>
      <c r="C43" s="1"/>
      <c r="D43" s="8"/>
      <c r="E43" s="33"/>
      <c r="F43" s="8"/>
      <c r="G43" s="25"/>
      <c r="H43" s="10"/>
      <c r="I43" s="1">
        <f t="shared" si="1"/>
        <v>0</v>
      </c>
      <c r="J43" s="2">
        <v>19</v>
      </c>
      <c r="K43" s="2"/>
      <c r="L43" s="26"/>
    </row>
    <row r="44" spans="1:12" ht="27" hidden="1" customHeight="1">
      <c r="A44" s="1"/>
      <c r="B44" s="1" t="str">
        <f t="shared" si="0"/>
        <v>0</v>
      </c>
      <c r="C44" s="1"/>
      <c r="D44" s="8"/>
      <c r="E44" s="33"/>
      <c r="F44" s="8"/>
      <c r="G44" s="25"/>
      <c r="H44" s="10"/>
      <c r="I44" s="1">
        <f t="shared" si="1"/>
        <v>0</v>
      </c>
      <c r="J44" s="2">
        <v>20</v>
      </c>
      <c r="K44" s="2"/>
      <c r="L44" s="26"/>
    </row>
    <row r="45" spans="1:12" ht="27" hidden="1" customHeight="1">
      <c r="A45" s="1"/>
      <c r="B45" s="1" t="str">
        <f t="shared" si="0"/>
        <v>0</v>
      </c>
      <c r="C45" s="1"/>
      <c r="D45" s="8"/>
      <c r="E45" s="33"/>
      <c r="F45" s="8"/>
      <c r="G45" s="25"/>
      <c r="H45" s="10"/>
      <c r="I45" s="1">
        <f t="shared" si="1"/>
        <v>0</v>
      </c>
      <c r="J45" s="2">
        <v>20</v>
      </c>
      <c r="K45" s="2"/>
      <c r="L45" s="26"/>
    </row>
    <row r="46" spans="1:12" ht="27" hidden="1" customHeight="1">
      <c r="A46" s="1"/>
      <c r="B46" s="1" t="str">
        <f t="shared" si="0"/>
        <v>0</v>
      </c>
      <c r="C46" s="1"/>
      <c r="D46" s="8"/>
      <c r="E46" s="33"/>
      <c r="F46" s="8"/>
      <c r="G46" s="25"/>
      <c r="H46" s="10"/>
      <c r="I46" s="1">
        <f t="shared" si="1"/>
        <v>0</v>
      </c>
      <c r="J46" s="2"/>
      <c r="K46" s="2"/>
      <c r="L46" s="26"/>
    </row>
    <row r="47" spans="1:12" ht="27" hidden="1" customHeight="1">
      <c r="A47" s="1"/>
      <c r="B47" s="1" t="str">
        <f t="shared" si="0"/>
        <v>0</v>
      </c>
      <c r="C47" s="1"/>
      <c r="D47" s="8"/>
      <c r="E47" s="33"/>
      <c r="F47" s="8"/>
      <c r="G47" s="25"/>
      <c r="H47" s="10"/>
      <c r="I47" s="1">
        <f t="shared" si="1"/>
        <v>0</v>
      </c>
      <c r="J47" s="2"/>
      <c r="K47" s="2"/>
      <c r="L47" s="26"/>
    </row>
    <row r="48" spans="1:12" ht="27" hidden="1" customHeight="1">
      <c r="A48" s="1"/>
      <c r="B48" s="1" t="str">
        <f t="shared" si="0"/>
        <v>0</v>
      </c>
      <c r="C48" s="1"/>
      <c r="D48" s="8"/>
      <c r="E48" s="33"/>
      <c r="F48" s="8"/>
      <c r="G48" s="25"/>
      <c r="H48" s="10"/>
      <c r="I48" s="1">
        <f t="shared" si="1"/>
        <v>0</v>
      </c>
      <c r="J48" s="2">
        <v>21</v>
      </c>
      <c r="K48" s="2"/>
      <c r="L48" s="26"/>
    </row>
    <row r="49" spans="1:12" ht="27" hidden="1" customHeight="1">
      <c r="A49" s="1"/>
      <c r="B49" s="1" t="str">
        <f t="shared" si="0"/>
        <v>0</v>
      </c>
      <c r="C49" s="1"/>
      <c r="D49" s="8"/>
      <c r="E49" s="33"/>
      <c r="F49" s="8"/>
      <c r="G49" s="25"/>
      <c r="H49" s="10"/>
      <c r="I49" s="1">
        <f t="shared" si="1"/>
        <v>0</v>
      </c>
      <c r="J49" s="2">
        <v>21</v>
      </c>
      <c r="K49" s="2"/>
      <c r="L49" s="26"/>
    </row>
    <row r="50" spans="1:12" ht="27" hidden="1" customHeight="1">
      <c r="A50" s="1"/>
      <c r="B50" s="1" t="str">
        <f t="shared" si="0"/>
        <v>0</v>
      </c>
      <c r="C50" s="1"/>
      <c r="D50" s="8"/>
      <c r="E50" s="33"/>
      <c r="F50" s="8"/>
      <c r="G50" s="25"/>
      <c r="H50" s="10"/>
      <c r="I50" s="1">
        <f t="shared" si="1"/>
        <v>0</v>
      </c>
      <c r="J50" s="2">
        <v>22</v>
      </c>
      <c r="K50" s="2"/>
      <c r="L50" s="26"/>
    </row>
    <row r="51" spans="1:12" ht="27" hidden="1" customHeight="1">
      <c r="A51" s="1"/>
      <c r="B51" s="1" t="str">
        <f t="shared" si="0"/>
        <v>0</v>
      </c>
      <c r="C51" s="1"/>
      <c r="D51" s="8"/>
      <c r="E51" s="33"/>
      <c r="F51" s="8"/>
      <c r="G51" s="25"/>
      <c r="H51" s="10"/>
      <c r="I51" s="1">
        <f t="shared" si="1"/>
        <v>0</v>
      </c>
      <c r="J51" s="2">
        <v>22</v>
      </c>
      <c r="K51" s="2"/>
      <c r="L51" s="26"/>
    </row>
    <row r="52" spans="1:12" ht="27" hidden="1" customHeight="1">
      <c r="A52" s="1"/>
      <c r="B52" s="1" t="str">
        <f t="shared" si="0"/>
        <v>0</v>
      </c>
      <c r="C52" s="1"/>
      <c r="D52" s="8"/>
      <c r="E52" s="33"/>
      <c r="F52" s="8"/>
      <c r="G52" s="25"/>
      <c r="H52" s="10"/>
      <c r="I52" s="1">
        <f t="shared" si="1"/>
        <v>0</v>
      </c>
      <c r="J52" s="2">
        <v>23</v>
      </c>
      <c r="K52" s="2"/>
      <c r="L52" s="26"/>
    </row>
    <row r="53" spans="1:12" ht="27" hidden="1" customHeight="1">
      <c r="A53" s="1"/>
      <c r="B53" s="1" t="str">
        <f t="shared" si="0"/>
        <v>0</v>
      </c>
      <c r="C53" s="1"/>
      <c r="D53" s="8"/>
      <c r="E53" s="33"/>
      <c r="F53" s="8"/>
      <c r="G53" s="25"/>
      <c r="H53" s="10"/>
      <c r="I53" s="1">
        <f t="shared" si="1"/>
        <v>0</v>
      </c>
      <c r="J53" s="2">
        <v>24</v>
      </c>
      <c r="K53" s="2"/>
      <c r="L53" s="26"/>
    </row>
    <row r="54" spans="1:12" ht="27" hidden="1" customHeight="1">
      <c r="A54" s="1"/>
      <c r="B54" s="1" t="str">
        <f t="shared" si="0"/>
        <v>0</v>
      </c>
      <c r="C54" s="1"/>
      <c r="D54" s="8"/>
      <c r="E54" s="33"/>
      <c r="F54" s="8"/>
      <c r="G54" s="25"/>
      <c r="H54" s="10"/>
      <c r="I54" s="1">
        <f t="shared" si="1"/>
        <v>0</v>
      </c>
      <c r="J54" s="2">
        <v>25</v>
      </c>
      <c r="K54" s="2"/>
      <c r="L54" s="26"/>
    </row>
    <row r="55" spans="1:12" ht="27" hidden="1" customHeight="1">
      <c r="A55" s="1"/>
      <c r="B55" s="1" t="str">
        <f t="shared" si="0"/>
        <v>0</v>
      </c>
      <c r="C55" s="1"/>
      <c r="D55" s="8"/>
      <c r="E55" s="33"/>
      <c r="F55" s="8"/>
      <c r="G55" s="25"/>
      <c r="H55" s="10"/>
      <c r="I55" s="1">
        <f t="shared" si="1"/>
        <v>0</v>
      </c>
      <c r="J55" s="2">
        <v>25</v>
      </c>
      <c r="K55" s="2"/>
      <c r="L55" s="26"/>
    </row>
    <row r="56" spans="1:12" ht="27" hidden="1" customHeight="1">
      <c r="A56" s="1"/>
      <c r="B56" s="1" t="str">
        <f t="shared" si="0"/>
        <v>0</v>
      </c>
      <c r="C56" s="1"/>
      <c r="D56" s="8"/>
      <c r="E56" s="33"/>
      <c r="F56" s="8"/>
      <c r="G56" s="25"/>
      <c r="H56" s="10"/>
      <c r="I56" s="1">
        <f t="shared" si="1"/>
        <v>0</v>
      </c>
      <c r="J56" s="2">
        <v>26</v>
      </c>
      <c r="K56" s="2"/>
      <c r="L56" s="26"/>
    </row>
    <row r="57" spans="1:12" ht="27" hidden="1" customHeight="1">
      <c r="A57" s="1"/>
      <c r="B57" s="1" t="str">
        <f t="shared" si="0"/>
        <v>0</v>
      </c>
      <c r="C57" s="1"/>
      <c r="D57" s="8"/>
      <c r="E57" s="33"/>
      <c r="F57" s="8"/>
      <c r="G57" s="25"/>
      <c r="H57" s="10"/>
      <c r="I57" s="1">
        <f t="shared" si="1"/>
        <v>0</v>
      </c>
      <c r="J57" s="2">
        <v>26</v>
      </c>
      <c r="K57" s="2"/>
      <c r="L57" s="26"/>
    </row>
    <row r="58" spans="1:12" ht="27" hidden="1" customHeight="1">
      <c r="A58" s="1"/>
      <c r="B58" s="1" t="str">
        <f t="shared" si="0"/>
        <v>0</v>
      </c>
      <c r="C58" s="1"/>
      <c r="D58" s="8"/>
      <c r="E58" s="33"/>
      <c r="F58" s="8"/>
      <c r="G58" s="25"/>
      <c r="H58" s="10"/>
      <c r="I58" s="1">
        <f t="shared" si="1"/>
        <v>0</v>
      </c>
      <c r="J58" s="2"/>
      <c r="K58" s="2"/>
      <c r="L58" s="26"/>
    </row>
    <row r="59" spans="1:12" ht="27" hidden="1" customHeight="1">
      <c r="A59" s="1"/>
      <c r="B59" s="1" t="str">
        <f t="shared" si="0"/>
        <v>0</v>
      </c>
      <c r="C59" s="1"/>
      <c r="D59" s="8"/>
      <c r="E59" s="35"/>
      <c r="F59" s="8"/>
      <c r="G59" s="25"/>
      <c r="H59" s="10"/>
      <c r="I59" s="1">
        <f t="shared" si="1"/>
        <v>0</v>
      </c>
      <c r="J59" s="2"/>
      <c r="K59" s="2"/>
      <c r="L59" s="26"/>
    </row>
    <row r="60" spans="1:12" ht="27" hidden="1" customHeight="1">
      <c r="A60" s="1"/>
      <c r="B60" s="1" t="str">
        <f t="shared" si="0"/>
        <v>0</v>
      </c>
      <c r="C60" s="1"/>
      <c r="D60" s="8"/>
      <c r="E60" s="33"/>
      <c r="F60" s="8"/>
      <c r="G60" s="25"/>
      <c r="H60" s="10"/>
      <c r="I60" s="1">
        <f t="shared" si="1"/>
        <v>0</v>
      </c>
      <c r="J60" s="2">
        <v>27</v>
      </c>
      <c r="K60" s="2"/>
      <c r="L60" s="26"/>
    </row>
    <row r="61" spans="1:12" ht="27" hidden="1" customHeight="1">
      <c r="A61" s="1"/>
      <c r="B61" s="1" t="str">
        <f t="shared" si="0"/>
        <v>0</v>
      </c>
      <c r="C61" s="1"/>
      <c r="D61" s="8"/>
      <c r="E61" s="33"/>
      <c r="F61" s="8"/>
      <c r="G61" s="25"/>
      <c r="H61" s="10"/>
      <c r="I61" s="1">
        <f t="shared" si="1"/>
        <v>0</v>
      </c>
      <c r="J61" s="2">
        <v>27</v>
      </c>
      <c r="K61" s="2"/>
      <c r="L61" s="26"/>
    </row>
    <row r="62" spans="1:12" ht="27" hidden="1" customHeight="1">
      <c r="A62" s="1"/>
      <c r="B62" s="1" t="str">
        <f t="shared" si="0"/>
        <v>0</v>
      </c>
      <c r="C62" s="1"/>
      <c r="D62" s="8"/>
      <c r="E62" s="33"/>
      <c r="F62" s="8"/>
      <c r="G62" s="10"/>
      <c r="H62" s="10"/>
      <c r="I62" s="1">
        <f t="shared" si="1"/>
        <v>0</v>
      </c>
      <c r="J62" s="2">
        <v>27</v>
      </c>
      <c r="K62" s="2"/>
      <c r="L62" s="26"/>
    </row>
    <row r="63" spans="1:12" ht="27" hidden="1" customHeight="1">
      <c r="A63" s="1"/>
      <c r="B63" s="1" t="str">
        <f t="shared" si="0"/>
        <v>0</v>
      </c>
      <c r="C63" s="1"/>
      <c r="D63" s="8"/>
      <c r="E63" s="33"/>
      <c r="F63" s="8"/>
      <c r="G63" s="10"/>
      <c r="H63" s="10"/>
      <c r="I63" s="1">
        <f t="shared" si="1"/>
        <v>0</v>
      </c>
      <c r="J63" s="2">
        <v>27</v>
      </c>
      <c r="K63" s="2"/>
      <c r="L63" s="26"/>
    </row>
    <row r="64" spans="1:12" ht="27" hidden="1" customHeight="1">
      <c r="A64" s="1"/>
      <c r="B64" s="1" t="str">
        <f t="shared" si="0"/>
        <v>0</v>
      </c>
      <c r="C64" s="1"/>
      <c r="D64" s="8"/>
      <c r="E64" s="35"/>
      <c r="F64" s="8"/>
      <c r="G64" s="10"/>
      <c r="H64" s="10"/>
      <c r="I64" s="1">
        <f t="shared" si="1"/>
        <v>0</v>
      </c>
      <c r="J64" s="2"/>
      <c r="K64" s="2"/>
      <c r="L64" s="26"/>
    </row>
    <row r="65" spans="1:12" ht="27" hidden="1" customHeight="1">
      <c r="A65" s="1"/>
      <c r="B65" s="1" t="str">
        <f t="shared" si="0"/>
        <v>0</v>
      </c>
      <c r="C65" s="1"/>
      <c r="D65" s="8"/>
      <c r="E65" s="35"/>
      <c r="F65" s="8"/>
      <c r="G65" s="10"/>
      <c r="H65" s="10"/>
      <c r="I65" s="1">
        <f t="shared" si="1"/>
        <v>0</v>
      </c>
      <c r="J65" s="2"/>
      <c r="K65" s="2"/>
      <c r="L65" s="26"/>
    </row>
    <row r="66" spans="1:12" ht="27" hidden="1" customHeight="1">
      <c r="A66" s="1"/>
      <c r="B66" s="1" t="str">
        <f t="shared" si="0"/>
        <v>0</v>
      </c>
      <c r="C66" s="1"/>
      <c r="D66" s="8"/>
      <c r="E66" s="35"/>
      <c r="F66" s="8"/>
      <c r="G66" s="10"/>
      <c r="H66" s="10"/>
      <c r="I66" s="1">
        <f t="shared" si="1"/>
        <v>0</v>
      </c>
      <c r="J66" s="2"/>
      <c r="K66" s="2"/>
      <c r="L66" s="26"/>
    </row>
    <row r="67" spans="1:12" ht="27" hidden="1" customHeight="1">
      <c r="A67" s="1"/>
      <c r="B67" s="1" t="str">
        <f t="shared" si="0"/>
        <v>0</v>
      </c>
      <c r="C67" s="1"/>
      <c r="D67" s="8"/>
      <c r="E67" s="35"/>
      <c r="F67" s="8"/>
      <c r="G67" s="10"/>
      <c r="H67" s="10"/>
      <c r="I67" s="1">
        <f t="shared" si="1"/>
        <v>0</v>
      </c>
      <c r="J67" s="2"/>
      <c r="K67" s="2"/>
      <c r="L67" s="26"/>
    </row>
    <row r="68" spans="1:12" ht="27" hidden="1" customHeight="1">
      <c r="A68" s="1"/>
      <c r="B68" s="1" t="str">
        <f t="shared" si="0"/>
        <v>0</v>
      </c>
      <c r="C68" s="1"/>
      <c r="D68" s="8"/>
      <c r="E68" s="35"/>
      <c r="F68" s="8"/>
      <c r="G68" s="10"/>
      <c r="H68" s="10"/>
      <c r="I68" s="1">
        <f t="shared" si="1"/>
        <v>0</v>
      </c>
      <c r="J68" s="2"/>
      <c r="K68" s="2"/>
      <c r="L68" s="26"/>
    </row>
    <row r="69" spans="1:12" ht="27" hidden="1" customHeight="1">
      <c r="A69" s="1"/>
      <c r="B69" s="1" t="str">
        <f t="shared" si="0"/>
        <v>0</v>
      </c>
      <c r="C69" s="1"/>
      <c r="D69" s="8"/>
      <c r="E69" s="35"/>
      <c r="F69" s="8"/>
      <c r="G69" s="10"/>
      <c r="H69" s="10"/>
      <c r="I69" s="1">
        <f t="shared" si="1"/>
        <v>0</v>
      </c>
      <c r="J69" s="2"/>
      <c r="K69" s="2"/>
      <c r="L69" s="26"/>
    </row>
    <row r="70" spans="1:12" ht="27" hidden="1" customHeight="1">
      <c r="A70" s="1"/>
      <c r="B70" s="1" t="str">
        <f t="shared" si="0"/>
        <v>0</v>
      </c>
      <c r="C70" s="1"/>
      <c r="D70" s="8"/>
      <c r="E70" s="35"/>
      <c r="F70" s="8"/>
      <c r="G70" s="10"/>
      <c r="H70" s="10"/>
      <c r="I70" s="1">
        <f t="shared" si="1"/>
        <v>0</v>
      </c>
      <c r="J70" s="2"/>
      <c r="K70" s="2"/>
      <c r="L70" s="26"/>
    </row>
    <row r="71" spans="1:12" ht="27" hidden="1" customHeight="1">
      <c r="A71" s="1"/>
      <c r="B71" s="1" t="str">
        <f t="shared" si="0"/>
        <v>0</v>
      </c>
      <c r="C71" s="1"/>
      <c r="D71" s="8"/>
      <c r="E71" s="35"/>
      <c r="F71" s="8"/>
      <c r="G71" s="10"/>
      <c r="H71" s="10"/>
      <c r="I71" s="1">
        <f t="shared" si="1"/>
        <v>0</v>
      </c>
      <c r="J71" s="2"/>
      <c r="K71" s="2"/>
      <c r="L71" s="26"/>
    </row>
    <row r="72" spans="1:12" ht="27" hidden="1" customHeight="1">
      <c r="A72" s="1"/>
      <c r="B72" s="1" t="str">
        <f t="shared" si="0"/>
        <v>0</v>
      </c>
      <c r="C72" s="1"/>
      <c r="D72" s="8"/>
      <c r="E72" s="35"/>
      <c r="F72" s="8"/>
      <c r="G72" s="10"/>
      <c r="H72" s="10"/>
      <c r="I72" s="1">
        <f t="shared" si="1"/>
        <v>0</v>
      </c>
      <c r="J72" s="2"/>
      <c r="K72" s="2"/>
      <c r="L72" s="26"/>
    </row>
    <row r="73" spans="1:12" ht="27" hidden="1" customHeight="1">
      <c r="A73" s="1"/>
      <c r="B73" s="1" t="str">
        <f t="shared" si="0"/>
        <v>0</v>
      </c>
      <c r="C73" s="1"/>
      <c r="D73" s="8"/>
      <c r="E73" s="35"/>
      <c r="F73" s="8"/>
      <c r="G73" s="10"/>
      <c r="H73" s="10"/>
      <c r="I73" s="1">
        <f t="shared" si="1"/>
        <v>0</v>
      </c>
      <c r="J73" s="2"/>
      <c r="K73" s="2"/>
      <c r="L73" s="26"/>
    </row>
    <row r="74" spans="1:12" ht="27" hidden="1" customHeight="1">
      <c r="A74" s="1"/>
      <c r="B74" s="1" t="str">
        <f t="shared" si="0"/>
        <v>0</v>
      </c>
      <c r="C74" s="1"/>
      <c r="D74" s="8"/>
      <c r="E74" s="35"/>
      <c r="F74" s="8"/>
      <c r="G74" s="10"/>
      <c r="H74" s="10"/>
      <c r="I74" s="1">
        <f t="shared" si="1"/>
        <v>0</v>
      </c>
      <c r="J74" s="2"/>
      <c r="K74" s="2"/>
      <c r="L74" s="26"/>
    </row>
    <row r="75" spans="1:12" ht="27" hidden="1" customHeight="1">
      <c r="A75" s="1"/>
      <c r="B75" s="1" t="str">
        <f t="shared" si="0"/>
        <v>0</v>
      </c>
      <c r="C75" s="1"/>
      <c r="D75" s="8"/>
      <c r="E75" s="35"/>
      <c r="F75" s="8"/>
      <c r="G75" s="10"/>
      <c r="H75" s="10"/>
      <c r="I75" s="1">
        <f t="shared" si="1"/>
        <v>0</v>
      </c>
      <c r="J75" s="2"/>
      <c r="K75" s="2"/>
      <c r="L75" s="26"/>
    </row>
    <row r="76" spans="1:12" ht="27" hidden="1" customHeight="1">
      <c r="A76" s="1"/>
      <c r="B76" s="1" t="str">
        <f t="shared" si="0"/>
        <v>0</v>
      </c>
      <c r="C76" s="1"/>
      <c r="D76" s="8"/>
      <c r="E76" s="35"/>
      <c r="F76" s="8"/>
      <c r="G76" s="10"/>
      <c r="H76" s="10"/>
      <c r="I76" s="1">
        <f t="shared" si="1"/>
        <v>0</v>
      </c>
      <c r="J76" s="2"/>
      <c r="K76" s="2"/>
      <c r="L76" s="26"/>
    </row>
    <row r="77" spans="1:12" ht="27" hidden="1" customHeight="1">
      <c r="A77" s="1"/>
      <c r="B77" s="1" t="str">
        <f t="shared" si="0"/>
        <v>0</v>
      </c>
      <c r="C77" s="1"/>
      <c r="D77" s="8"/>
      <c r="E77" s="35"/>
      <c r="F77" s="8"/>
      <c r="G77" s="10"/>
      <c r="H77" s="10"/>
      <c r="I77" s="1">
        <f t="shared" si="1"/>
        <v>0</v>
      </c>
      <c r="J77" s="2"/>
      <c r="K77" s="2"/>
      <c r="L77" s="26"/>
    </row>
    <row r="78" spans="1:12" ht="27" hidden="1" customHeight="1">
      <c r="A78" s="1"/>
      <c r="B78" s="1" t="str">
        <f t="shared" si="0"/>
        <v>0</v>
      </c>
      <c r="C78" s="1"/>
      <c r="D78" s="8"/>
      <c r="E78" s="35"/>
      <c r="F78" s="8"/>
      <c r="G78" s="10"/>
      <c r="H78" s="10"/>
      <c r="I78" s="1">
        <f t="shared" si="1"/>
        <v>0</v>
      </c>
      <c r="J78" s="2"/>
      <c r="K78" s="2"/>
      <c r="L78" s="26"/>
    </row>
    <row r="79" spans="1:12" ht="27" hidden="1" customHeight="1">
      <c r="A79" s="1"/>
      <c r="B79" s="1" t="str">
        <f t="shared" si="0"/>
        <v>0</v>
      </c>
      <c r="C79" s="1"/>
      <c r="D79" s="8"/>
      <c r="E79" s="35"/>
      <c r="F79" s="8"/>
      <c r="G79" s="10"/>
      <c r="H79" s="10"/>
      <c r="I79" s="1">
        <f t="shared" si="1"/>
        <v>0</v>
      </c>
      <c r="J79" s="2"/>
      <c r="K79" s="2"/>
      <c r="L79" s="26"/>
    </row>
    <row r="80" spans="1:12" ht="27" hidden="1" customHeight="1">
      <c r="A80" s="1"/>
      <c r="B80" s="1" t="str">
        <f t="shared" si="0"/>
        <v>0</v>
      </c>
      <c r="C80" s="1"/>
      <c r="D80" s="8"/>
      <c r="E80" s="35"/>
      <c r="F80" s="8"/>
      <c r="G80" s="10"/>
      <c r="H80" s="10"/>
      <c r="I80" s="1">
        <f t="shared" si="1"/>
        <v>0</v>
      </c>
      <c r="J80" s="2"/>
      <c r="K80" s="2"/>
      <c r="L80" s="26"/>
    </row>
    <row r="81" spans="1:12" ht="27" hidden="1" customHeight="1">
      <c r="A81" s="1"/>
      <c r="B81" s="1" t="str">
        <f t="shared" si="0"/>
        <v>0</v>
      </c>
      <c r="C81" s="1"/>
      <c r="D81" s="8"/>
      <c r="E81" s="35"/>
      <c r="F81" s="8"/>
      <c r="G81" s="10"/>
      <c r="H81" s="10"/>
      <c r="I81" s="1">
        <f t="shared" si="1"/>
        <v>0</v>
      </c>
      <c r="J81" s="2"/>
      <c r="K81" s="2"/>
      <c r="L81" s="26"/>
    </row>
    <row r="82" spans="1:12" ht="27" hidden="1" customHeight="1">
      <c r="A82" s="1"/>
      <c r="B82" s="1" t="str">
        <f t="shared" si="0"/>
        <v>0</v>
      </c>
      <c r="C82" s="1"/>
      <c r="D82" s="8"/>
      <c r="E82" s="35"/>
      <c r="F82" s="8"/>
      <c r="G82" s="10"/>
      <c r="H82" s="10"/>
      <c r="I82" s="1">
        <f t="shared" si="1"/>
        <v>0</v>
      </c>
      <c r="J82" s="2"/>
      <c r="K82" s="2"/>
      <c r="L82" s="26"/>
    </row>
    <row r="83" spans="1:12" ht="27" hidden="1" customHeight="1">
      <c r="A83" s="1"/>
      <c r="B83" s="1" t="str">
        <f t="shared" si="0"/>
        <v>0</v>
      </c>
      <c r="C83" s="1"/>
      <c r="D83" s="8"/>
      <c r="E83" s="35"/>
      <c r="F83" s="8"/>
      <c r="G83" s="10"/>
      <c r="H83" s="10"/>
      <c r="I83" s="1">
        <f t="shared" si="1"/>
        <v>0</v>
      </c>
      <c r="J83" s="2"/>
      <c r="K83" s="2"/>
      <c r="L83" s="26"/>
    </row>
    <row r="84" spans="1:12" ht="27" hidden="1" customHeight="1">
      <c r="A84" s="1"/>
      <c r="B84" s="1" t="str">
        <f t="shared" si="0"/>
        <v>0</v>
      </c>
      <c r="C84" s="1"/>
      <c r="D84" s="8"/>
      <c r="E84" s="35"/>
      <c r="F84" s="8"/>
      <c r="G84" s="10"/>
      <c r="H84" s="10"/>
      <c r="I84" s="1">
        <f t="shared" si="1"/>
        <v>0</v>
      </c>
      <c r="J84" s="2"/>
      <c r="K84" s="2"/>
      <c r="L84" s="26"/>
    </row>
    <row r="85" spans="1:12" ht="27" hidden="1" customHeight="1">
      <c r="A85" s="1"/>
      <c r="B85" s="1" t="str">
        <f t="shared" si="0"/>
        <v>0</v>
      </c>
      <c r="C85" s="1"/>
      <c r="D85" s="8"/>
      <c r="E85" s="35"/>
      <c r="F85" s="8"/>
      <c r="G85" s="10"/>
      <c r="H85" s="10"/>
      <c r="I85" s="1">
        <f t="shared" si="1"/>
        <v>0</v>
      </c>
      <c r="J85" s="2"/>
      <c r="K85" s="2"/>
      <c r="L85" s="26"/>
    </row>
    <row r="86" spans="1:12" ht="27" hidden="1" customHeight="1">
      <c r="A86" s="1"/>
      <c r="B86" s="1" t="str">
        <f t="shared" si="0"/>
        <v>0</v>
      </c>
      <c r="C86" s="1"/>
      <c r="D86" s="8"/>
      <c r="E86" s="35"/>
      <c r="F86" s="8"/>
      <c r="G86" s="10"/>
      <c r="H86" s="10"/>
      <c r="I86" s="1">
        <f t="shared" si="1"/>
        <v>0</v>
      </c>
      <c r="J86" s="2"/>
      <c r="K86" s="2"/>
      <c r="L86" s="26"/>
    </row>
    <row r="87" spans="1:12" ht="27" hidden="1" customHeight="1">
      <c r="A87" s="1"/>
      <c r="B87" s="1" t="str">
        <f t="shared" si="0"/>
        <v>0</v>
      </c>
      <c r="C87" s="1"/>
      <c r="D87" s="8"/>
      <c r="E87" s="35"/>
      <c r="F87" s="8"/>
      <c r="G87" s="10"/>
      <c r="H87" s="10"/>
      <c r="I87" s="1">
        <f t="shared" si="1"/>
        <v>0</v>
      </c>
      <c r="J87" s="2"/>
      <c r="K87" s="2"/>
      <c r="L87" s="26"/>
    </row>
    <row r="88" spans="1:12" ht="27" hidden="1" customHeight="1">
      <c r="A88" s="1"/>
      <c r="B88" s="1" t="str">
        <f t="shared" si="0"/>
        <v>0</v>
      </c>
      <c r="C88" s="1"/>
      <c r="D88" s="8"/>
      <c r="E88" s="35"/>
      <c r="F88" s="8"/>
      <c r="G88" s="10"/>
      <c r="H88" s="10"/>
      <c r="I88" s="1">
        <f t="shared" si="1"/>
        <v>0</v>
      </c>
      <c r="J88" s="2"/>
      <c r="K88" s="2"/>
      <c r="L88" s="26"/>
    </row>
    <row r="89" spans="1:12" ht="27" hidden="1" customHeight="1">
      <c r="A89" s="1"/>
      <c r="B89" s="1" t="str">
        <f t="shared" si="0"/>
        <v>0</v>
      </c>
      <c r="C89" s="1"/>
      <c r="D89" s="8"/>
      <c r="E89" s="35"/>
      <c r="F89" s="8"/>
      <c r="G89" s="10"/>
      <c r="H89" s="10"/>
      <c r="I89" s="1">
        <f t="shared" si="1"/>
        <v>0</v>
      </c>
      <c r="J89" s="2"/>
      <c r="K89" s="2"/>
      <c r="L89" s="26"/>
    </row>
    <row r="90" spans="1:12" ht="27" hidden="1" customHeight="1">
      <c r="A90" s="1"/>
      <c r="B90" s="1" t="str">
        <f t="shared" si="0"/>
        <v>0</v>
      </c>
      <c r="C90" s="1"/>
      <c r="D90" s="8"/>
      <c r="E90" s="35"/>
      <c r="F90" s="8"/>
      <c r="G90" s="10"/>
      <c r="H90" s="10"/>
      <c r="I90" s="1">
        <f t="shared" si="1"/>
        <v>0</v>
      </c>
      <c r="J90" s="2"/>
      <c r="K90" s="2"/>
      <c r="L90" s="26"/>
    </row>
    <row r="91" spans="1:12" ht="27" hidden="1" customHeight="1">
      <c r="A91" s="1"/>
      <c r="B91" s="1" t="str">
        <f t="shared" si="0"/>
        <v>0</v>
      </c>
      <c r="C91" s="1"/>
      <c r="D91" s="8"/>
      <c r="E91" s="35"/>
      <c r="F91" s="8"/>
      <c r="G91" s="10"/>
      <c r="H91" s="10"/>
      <c r="I91" s="1">
        <f t="shared" si="1"/>
        <v>0</v>
      </c>
      <c r="J91" s="2"/>
      <c r="K91" s="2"/>
      <c r="L91" s="26"/>
    </row>
    <row r="92" spans="1:12" ht="27" hidden="1" customHeight="1">
      <c r="A92" s="1"/>
      <c r="B92" s="1" t="str">
        <f t="shared" si="0"/>
        <v>0</v>
      </c>
      <c r="C92" s="1"/>
      <c r="D92" s="8"/>
      <c r="E92" s="35"/>
      <c r="F92" s="8"/>
      <c r="G92" s="10"/>
      <c r="H92" s="10"/>
      <c r="I92" s="1">
        <f t="shared" si="1"/>
        <v>0</v>
      </c>
      <c r="J92" s="2"/>
      <c r="K92" s="2"/>
      <c r="L92" s="26"/>
    </row>
    <row r="93" spans="1:12" ht="27" hidden="1" customHeight="1">
      <c r="A93" s="1"/>
      <c r="B93" s="1" t="str">
        <f t="shared" si="0"/>
        <v>0</v>
      </c>
      <c r="C93" s="1"/>
      <c r="D93" s="8"/>
      <c r="E93" s="35"/>
      <c r="F93" s="8"/>
      <c r="G93" s="10"/>
      <c r="H93" s="10"/>
      <c r="I93" s="1">
        <f t="shared" si="1"/>
        <v>0</v>
      </c>
      <c r="J93" s="2"/>
      <c r="K93" s="2"/>
      <c r="L93" s="26"/>
    </row>
    <row r="94" spans="1:12" ht="27" hidden="1" customHeight="1">
      <c r="A94" s="1"/>
      <c r="B94" s="1" t="str">
        <f t="shared" si="0"/>
        <v>0</v>
      </c>
      <c r="C94" s="1"/>
      <c r="D94" s="8"/>
      <c r="E94" s="35"/>
      <c r="F94" s="8"/>
      <c r="G94" s="10"/>
      <c r="H94" s="10"/>
      <c r="I94" s="1">
        <f t="shared" si="1"/>
        <v>0</v>
      </c>
      <c r="J94" s="2"/>
      <c r="K94" s="2"/>
      <c r="L94" s="26"/>
    </row>
    <row r="95" spans="1:12" ht="27" hidden="1" customHeight="1">
      <c r="A95" s="1"/>
      <c r="B95" s="1" t="str">
        <f t="shared" si="0"/>
        <v>0</v>
      </c>
      <c r="C95" s="1"/>
      <c r="D95" s="8"/>
      <c r="E95" s="35"/>
      <c r="F95" s="8"/>
      <c r="G95" s="10"/>
      <c r="H95" s="10"/>
      <c r="I95" s="1">
        <f t="shared" si="1"/>
        <v>0</v>
      </c>
      <c r="J95" s="2"/>
      <c r="K95" s="2"/>
      <c r="L95" s="26"/>
    </row>
    <row r="96" spans="1:12" ht="27" hidden="1" customHeight="1">
      <c r="A96" s="1"/>
      <c r="B96" s="1" t="str">
        <f t="shared" si="0"/>
        <v>0</v>
      </c>
      <c r="C96" s="1"/>
      <c r="D96" s="8"/>
      <c r="E96" s="35"/>
      <c r="F96" s="8"/>
      <c r="G96" s="10"/>
      <c r="H96" s="10"/>
      <c r="I96" s="1">
        <f t="shared" si="1"/>
        <v>0</v>
      </c>
      <c r="J96" s="2"/>
      <c r="K96" s="2"/>
      <c r="L96" s="26"/>
    </row>
    <row r="97" spans="1:12" ht="27" hidden="1" customHeight="1">
      <c r="A97" s="1"/>
      <c r="B97" s="1" t="str">
        <f t="shared" si="0"/>
        <v>0</v>
      </c>
      <c r="C97" s="1"/>
      <c r="D97" s="8"/>
      <c r="E97" s="35"/>
      <c r="F97" s="8"/>
      <c r="G97" s="10"/>
      <c r="H97" s="10"/>
      <c r="I97" s="1">
        <f t="shared" si="1"/>
        <v>0</v>
      </c>
      <c r="J97" s="2"/>
      <c r="K97" s="2"/>
      <c r="L97" s="26"/>
    </row>
    <row r="98" spans="1:12" ht="27" hidden="1" customHeight="1">
      <c r="A98" s="1"/>
      <c r="B98" s="1" t="str">
        <f t="shared" si="0"/>
        <v>0</v>
      </c>
      <c r="C98" s="1"/>
      <c r="D98" s="8"/>
      <c r="E98" s="35"/>
      <c r="F98" s="8"/>
      <c r="G98" s="10"/>
      <c r="H98" s="10"/>
      <c r="I98" s="1">
        <f t="shared" si="1"/>
        <v>0</v>
      </c>
      <c r="J98" s="2"/>
      <c r="K98" s="2"/>
      <c r="L98" s="26"/>
    </row>
    <row r="99" spans="1:12" ht="27" hidden="1" customHeight="1">
      <c r="A99" s="1"/>
      <c r="B99" s="1" t="str">
        <f t="shared" si="0"/>
        <v>0</v>
      </c>
      <c r="C99" s="1"/>
      <c r="D99" s="8"/>
      <c r="E99" s="35"/>
      <c r="F99" s="8"/>
      <c r="G99" s="10"/>
      <c r="H99" s="10"/>
      <c r="I99" s="1">
        <f t="shared" si="1"/>
        <v>0</v>
      </c>
      <c r="J99" s="2"/>
      <c r="K99" s="2"/>
      <c r="L99" s="26"/>
    </row>
    <row r="100" spans="1:12" ht="27" hidden="1" customHeight="1">
      <c r="A100" s="1"/>
      <c r="B100" s="1" t="str">
        <f t="shared" si="0"/>
        <v>0</v>
      </c>
      <c r="C100" s="1"/>
      <c r="D100" s="8"/>
      <c r="E100" s="35"/>
      <c r="F100" s="8"/>
      <c r="G100" s="10"/>
      <c r="H100" s="10"/>
      <c r="I100" s="1">
        <f t="shared" si="1"/>
        <v>0</v>
      </c>
      <c r="J100" s="2"/>
      <c r="K100" s="2"/>
      <c r="L100" s="26"/>
    </row>
    <row r="101" spans="1:12" ht="27" hidden="1" customHeight="1">
      <c r="A101" s="1"/>
      <c r="B101" s="1" t="str">
        <f t="shared" si="0"/>
        <v>0</v>
      </c>
      <c r="C101" s="1"/>
      <c r="D101" s="8"/>
      <c r="E101" s="35"/>
      <c r="F101" s="8"/>
      <c r="G101" s="10"/>
      <c r="H101" s="10"/>
      <c r="I101" s="1">
        <f t="shared" si="1"/>
        <v>0</v>
      </c>
      <c r="J101" s="2"/>
      <c r="K101" s="2"/>
      <c r="L101" s="26"/>
    </row>
    <row r="102" spans="1:12" ht="27" hidden="1" customHeight="1">
      <c r="A102" s="1"/>
      <c r="B102" s="1" t="str">
        <f t="shared" si="0"/>
        <v>0</v>
      </c>
      <c r="C102" s="1"/>
      <c r="D102" s="8"/>
      <c r="E102" s="35"/>
      <c r="F102" s="8"/>
      <c r="G102" s="10"/>
      <c r="H102" s="10"/>
      <c r="I102" s="1">
        <f t="shared" si="1"/>
        <v>0</v>
      </c>
      <c r="J102" s="2"/>
      <c r="K102" s="2"/>
      <c r="L102" s="26"/>
    </row>
    <row r="103" spans="1:12" ht="27" hidden="1" customHeight="1">
      <c r="A103" s="1"/>
      <c r="B103" s="1" t="str">
        <f t="shared" si="0"/>
        <v>0</v>
      </c>
      <c r="C103" s="1"/>
      <c r="D103" s="8"/>
      <c r="E103" s="35"/>
      <c r="F103" s="8"/>
      <c r="G103" s="10"/>
      <c r="H103" s="10"/>
      <c r="I103" s="1">
        <f t="shared" si="1"/>
        <v>0</v>
      </c>
      <c r="J103" s="2"/>
      <c r="K103" s="2"/>
      <c r="L103" s="26"/>
    </row>
    <row r="104" spans="1:12" ht="27" hidden="1" customHeight="1">
      <c r="A104" s="1"/>
      <c r="B104" s="1" t="str">
        <f t="shared" si="0"/>
        <v>0</v>
      </c>
      <c r="C104" s="1"/>
      <c r="D104" s="8"/>
      <c r="E104" s="35"/>
      <c r="F104" s="8"/>
      <c r="G104" s="10"/>
      <c r="H104" s="10"/>
      <c r="I104" s="1">
        <f t="shared" si="1"/>
        <v>0</v>
      </c>
      <c r="J104" s="2"/>
      <c r="K104" s="2"/>
      <c r="L104" s="26"/>
    </row>
    <row r="105" spans="1:12" ht="27" hidden="1" customHeight="1">
      <c r="A105" s="1"/>
      <c r="B105" s="1" t="str">
        <f t="shared" si="0"/>
        <v>0</v>
      </c>
      <c r="C105" s="1"/>
      <c r="D105" s="8"/>
      <c r="E105" s="35"/>
      <c r="F105" s="8"/>
      <c r="G105" s="10"/>
      <c r="H105" s="10"/>
      <c r="I105" s="1">
        <f t="shared" si="1"/>
        <v>0</v>
      </c>
      <c r="J105" s="2"/>
      <c r="K105" s="2"/>
      <c r="L105" s="26"/>
    </row>
    <row r="106" spans="1:12" ht="27" hidden="1" customHeight="1">
      <c r="A106" s="1"/>
      <c r="B106" s="1" t="str">
        <f t="shared" si="0"/>
        <v>0</v>
      </c>
      <c r="C106" s="1"/>
      <c r="D106" s="8"/>
      <c r="E106" s="35"/>
      <c r="F106" s="8"/>
      <c r="G106" s="10"/>
      <c r="H106" s="10"/>
      <c r="I106" s="1">
        <f t="shared" si="1"/>
        <v>0</v>
      </c>
      <c r="J106" s="2"/>
      <c r="K106" s="2"/>
      <c r="L106" s="26"/>
    </row>
    <row r="107" spans="1:12" ht="27" hidden="1" customHeight="1">
      <c r="A107" s="1"/>
      <c r="B107" s="1" t="str">
        <f t="shared" si="0"/>
        <v>0</v>
      </c>
      <c r="C107" s="1"/>
      <c r="D107" s="8"/>
      <c r="E107" s="35"/>
      <c r="F107" s="8"/>
      <c r="G107" s="10"/>
      <c r="H107" s="10"/>
      <c r="I107" s="1">
        <f t="shared" si="1"/>
        <v>0</v>
      </c>
      <c r="J107" s="2"/>
      <c r="K107" s="2"/>
      <c r="L107" s="26"/>
    </row>
    <row r="108" spans="1:12" ht="27" hidden="1" customHeight="1">
      <c r="A108" s="1"/>
      <c r="B108" s="1" t="str">
        <f t="shared" si="0"/>
        <v>0</v>
      </c>
      <c r="C108" s="1"/>
      <c r="D108" s="8"/>
      <c r="E108" s="35"/>
      <c r="F108" s="8"/>
      <c r="G108" s="10"/>
      <c r="H108" s="10"/>
      <c r="I108" s="1">
        <f t="shared" si="1"/>
        <v>0</v>
      </c>
      <c r="J108" s="2"/>
      <c r="K108" s="2"/>
      <c r="L108" s="26"/>
    </row>
    <row r="109" spans="1:12" ht="27" hidden="1" customHeight="1">
      <c r="A109" s="1"/>
      <c r="B109" s="1" t="str">
        <f t="shared" si="0"/>
        <v>0</v>
      </c>
      <c r="C109" s="1"/>
      <c r="D109" s="8"/>
      <c r="E109" s="35"/>
      <c r="F109" s="8"/>
      <c r="G109" s="10"/>
      <c r="H109" s="10"/>
      <c r="I109" s="1">
        <f t="shared" si="1"/>
        <v>0</v>
      </c>
      <c r="J109" s="2"/>
      <c r="K109" s="2"/>
      <c r="L109" s="26"/>
    </row>
    <row r="110" spans="1:12" ht="27" hidden="1" customHeight="1">
      <c r="A110" s="1"/>
      <c r="B110" s="1" t="str">
        <f t="shared" si="0"/>
        <v>0</v>
      </c>
      <c r="C110" s="1"/>
      <c r="D110" s="8"/>
      <c r="E110" s="35"/>
      <c r="F110" s="8"/>
      <c r="G110" s="10"/>
      <c r="H110" s="10"/>
      <c r="I110" s="1">
        <f t="shared" si="1"/>
        <v>0</v>
      </c>
      <c r="J110" s="2"/>
      <c r="K110" s="2"/>
      <c r="L110" s="26"/>
    </row>
    <row r="111" spans="1:12" ht="27" hidden="1" customHeight="1">
      <c r="A111" s="1"/>
      <c r="B111" s="1" t="str">
        <f t="shared" si="0"/>
        <v>0</v>
      </c>
      <c r="C111" s="1"/>
      <c r="D111" s="8"/>
      <c r="E111" s="35"/>
      <c r="F111" s="8"/>
      <c r="G111" s="10"/>
      <c r="H111" s="10"/>
      <c r="I111" s="1">
        <f t="shared" si="1"/>
        <v>0</v>
      </c>
      <c r="J111" s="2"/>
      <c r="K111" s="2"/>
      <c r="L111" s="26"/>
    </row>
    <row r="112" spans="1:12" ht="27" hidden="1" customHeight="1">
      <c r="A112" s="1"/>
      <c r="B112" s="1" t="str">
        <f t="shared" si="0"/>
        <v>0</v>
      </c>
      <c r="C112" s="1"/>
      <c r="D112" s="8"/>
      <c r="E112" s="35"/>
      <c r="F112" s="8"/>
      <c r="G112" s="10"/>
      <c r="H112" s="10"/>
      <c r="I112" s="1">
        <f t="shared" si="1"/>
        <v>0</v>
      </c>
      <c r="J112" s="2"/>
      <c r="K112" s="2"/>
      <c r="L112" s="26"/>
    </row>
    <row r="113" spans="1:12" ht="27" hidden="1" customHeight="1">
      <c r="A113" s="1"/>
      <c r="B113" s="1" t="str">
        <f t="shared" si="0"/>
        <v>0</v>
      </c>
      <c r="C113" s="1"/>
      <c r="D113" s="8"/>
      <c r="E113" s="35"/>
      <c r="F113" s="8"/>
      <c r="G113" s="10"/>
      <c r="H113" s="10"/>
      <c r="I113" s="1">
        <f t="shared" si="1"/>
        <v>0</v>
      </c>
      <c r="J113" s="2"/>
      <c r="K113" s="2"/>
      <c r="L113" s="26"/>
    </row>
    <row r="114" spans="1:12" ht="27" hidden="1" customHeight="1">
      <c r="A114" s="1"/>
      <c r="B114" s="1" t="str">
        <f t="shared" si="0"/>
        <v>0</v>
      </c>
      <c r="C114" s="1"/>
      <c r="D114" s="8"/>
      <c r="E114" s="35"/>
      <c r="F114" s="8"/>
      <c r="G114" s="10"/>
      <c r="H114" s="10"/>
      <c r="I114" s="1">
        <f t="shared" si="1"/>
        <v>0</v>
      </c>
      <c r="J114" s="2"/>
      <c r="K114" s="2"/>
      <c r="L114" s="26"/>
    </row>
    <row r="115" spans="1:12" ht="27" hidden="1" customHeight="1">
      <c r="A115" s="1"/>
      <c r="B115" s="1" t="str">
        <f t="shared" si="0"/>
        <v>0</v>
      </c>
      <c r="C115" s="1"/>
      <c r="D115" s="8"/>
      <c r="E115" s="35"/>
      <c r="F115" s="8"/>
      <c r="G115" s="10"/>
      <c r="H115" s="10"/>
      <c r="I115" s="1">
        <f t="shared" si="1"/>
        <v>0</v>
      </c>
      <c r="J115" s="2"/>
      <c r="K115" s="2"/>
      <c r="L115" s="26"/>
    </row>
    <row r="116" spans="1:12" ht="27" hidden="1" customHeight="1">
      <c r="A116" s="1"/>
      <c r="B116" s="1" t="str">
        <f t="shared" si="0"/>
        <v>0</v>
      </c>
      <c r="C116" s="1"/>
      <c r="D116" s="8"/>
      <c r="E116" s="35"/>
      <c r="F116" s="8"/>
      <c r="G116" s="10"/>
      <c r="H116" s="10"/>
      <c r="I116" s="1">
        <f t="shared" si="1"/>
        <v>0</v>
      </c>
      <c r="J116" s="2"/>
      <c r="K116" s="2"/>
      <c r="L116" s="26"/>
    </row>
    <row r="117" spans="1:12" ht="27" hidden="1" customHeight="1">
      <c r="A117" s="1"/>
      <c r="B117" s="1" t="str">
        <f t="shared" si="0"/>
        <v>0</v>
      </c>
      <c r="C117" s="1"/>
      <c r="D117" s="8"/>
      <c r="E117" s="35"/>
      <c r="F117" s="8"/>
      <c r="G117" s="10"/>
      <c r="H117" s="10"/>
      <c r="I117" s="1">
        <f t="shared" si="1"/>
        <v>0</v>
      </c>
      <c r="J117" s="2"/>
      <c r="K117" s="2"/>
      <c r="L117" s="26"/>
    </row>
    <row r="118" spans="1:12" ht="27" hidden="1" customHeight="1">
      <c r="A118" s="1"/>
      <c r="B118" s="1" t="str">
        <f t="shared" si="0"/>
        <v>0</v>
      </c>
      <c r="C118" s="1"/>
      <c r="D118" s="8"/>
      <c r="E118" s="35"/>
      <c r="F118" s="8"/>
      <c r="G118" s="10"/>
      <c r="H118" s="10"/>
      <c r="I118" s="1">
        <f t="shared" si="1"/>
        <v>0</v>
      </c>
      <c r="J118" s="2"/>
      <c r="K118" s="2"/>
      <c r="L118" s="26"/>
    </row>
    <row r="119" spans="1:12" ht="27" hidden="1" customHeight="1">
      <c r="A119" s="1"/>
      <c r="B119" s="1" t="str">
        <f t="shared" si="0"/>
        <v>0</v>
      </c>
      <c r="C119" s="1"/>
      <c r="D119" s="8"/>
      <c r="E119" s="35"/>
      <c r="F119" s="8"/>
      <c r="G119" s="10"/>
      <c r="H119" s="10"/>
      <c r="I119" s="1">
        <f t="shared" si="1"/>
        <v>0</v>
      </c>
      <c r="J119" s="2"/>
      <c r="K119" s="2"/>
      <c r="L119" s="26"/>
    </row>
    <row r="120" spans="1:12" ht="27" hidden="1" customHeight="1">
      <c r="A120" s="1"/>
      <c r="B120" s="1" t="str">
        <f t="shared" si="0"/>
        <v>0</v>
      </c>
      <c r="C120" s="1"/>
      <c r="D120" s="8"/>
      <c r="E120" s="35"/>
      <c r="F120" s="8"/>
      <c r="G120" s="10"/>
      <c r="H120" s="10"/>
      <c r="I120" s="1">
        <f t="shared" si="1"/>
        <v>0</v>
      </c>
      <c r="J120" s="2"/>
      <c r="K120" s="2"/>
      <c r="L120" s="26"/>
    </row>
    <row r="121" spans="1:12" ht="27" hidden="1" customHeight="1">
      <c r="A121" s="1"/>
      <c r="B121" s="1" t="str">
        <f t="shared" si="0"/>
        <v>0</v>
      </c>
      <c r="C121" s="1"/>
      <c r="D121" s="8"/>
      <c r="E121" s="35"/>
      <c r="F121" s="8"/>
      <c r="G121" s="10"/>
      <c r="H121" s="10"/>
      <c r="I121" s="1">
        <f t="shared" si="1"/>
        <v>0</v>
      </c>
      <c r="J121" s="2"/>
      <c r="K121" s="2"/>
      <c r="L121" s="26"/>
    </row>
    <row r="122" spans="1:12" ht="27" hidden="1" customHeight="1">
      <c r="A122" s="1"/>
      <c r="B122" s="1" t="str">
        <f t="shared" si="0"/>
        <v>0</v>
      </c>
      <c r="C122" s="1"/>
      <c r="D122" s="8"/>
      <c r="E122" s="35"/>
      <c r="F122" s="8"/>
      <c r="G122" s="10"/>
      <c r="H122" s="10"/>
      <c r="I122" s="1">
        <f t="shared" si="1"/>
        <v>0</v>
      </c>
      <c r="J122" s="2"/>
      <c r="K122" s="2"/>
      <c r="L122" s="26"/>
    </row>
    <row r="123" spans="1:12" ht="27" hidden="1" customHeight="1">
      <c r="A123" s="1"/>
      <c r="B123" s="1" t="str">
        <f t="shared" si="0"/>
        <v>0</v>
      </c>
      <c r="C123" s="1"/>
      <c r="D123" s="8"/>
      <c r="E123" s="35"/>
      <c r="F123" s="8"/>
      <c r="G123" s="10"/>
      <c r="H123" s="10"/>
      <c r="I123" s="1">
        <f t="shared" si="1"/>
        <v>0</v>
      </c>
      <c r="J123" s="2"/>
      <c r="K123" s="2"/>
      <c r="L123" s="26"/>
    </row>
    <row r="124" spans="1:12" ht="27" hidden="1" customHeight="1">
      <c r="A124" s="1"/>
      <c r="B124" s="1" t="str">
        <f t="shared" si="0"/>
        <v>0</v>
      </c>
      <c r="C124" s="1"/>
      <c r="D124" s="8"/>
      <c r="E124" s="35"/>
      <c r="F124" s="8"/>
      <c r="G124" s="10"/>
      <c r="H124" s="10"/>
      <c r="I124" s="1">
        <f t="shared" si="1"/>
        <v>0</v>
      </c>
      <c r="J124" s="2"/>
      <c r="K124" s="2"/>
      <c r="L124" s="26"/>
    </row>
    <row r="125" spans="1:12" ht="27" hidden="1" customHeight="1">
      <c r="A125" s="1"/>
      <c r="B125" s="1" t="str">
        <f t="shared" si="0"/>
        <v>0</v>
      </c>
      <c r="C125" s="1"/>
      <c r="D125" s="8"/>
      <c r="E125" s="35"/>
      <c r="F125" s="8"/>
      <c r="G125" s="10"/>
      <c r="H125" s="10"/>
      <c r="I125" s="1">
        <f t="shared" si="1"/>
        <v>0</v>
      </c>
      <c r="J125" s="2"/>
      <c r="K125" s="2"/>
      <c r="L125" s="26"/>
    </row>
    <row r="126" spans="1:12" ht="27" hidden="1" customHeight="1">
      <c r="A126" s="1"/>
      <c r="B126" s="1" t="str">
        <f t="shared" si="0"/>
        <v>0</v>
      </c>
      <c r="C126" s="1"/>
      <c r="D126" s="8"/>
      <c r="E126" s="35"/>
      <c r="F126" s="8"/>
      <c r="G126" s="10"/>
      <c r="H126" s="10"/>
      <c r="I126" s="1">
        <f t="shared" si="1"/>
        <v>0</v>
      </c>
      <c r="J126" s="2"/>
      <c r="K126" s="2"/>
      <c r="L126" s="26"/>
    </row>
    <row r="127" spans="1:12" ht="27" hidden="1" customHeight="1">
      <c r="A127" s="1"/>
      <c r="B127" s="1" t="str">
        <f t="shared" si="0"/>
        <v>0</v>
      </c>
      <c r="C127" s="1"/>
      <c r="D127" s="8"/>
      <c r="E127" s="35"/>
      <c r="F127" s="8"/>
      <c r="G127" s="10"/>
      <c r="H127" s="10"/>
      <c r="I127" s="1">
        <f t="shared" si="1"/>
        <v>0</v>
      </c>
      <c r="J127" s="2"/>
      <c r="K127" s="2"/>
      <c r="L127" s="26"/>
    </row>
    <row r="128" spans="1:12" ht="27" hidden="1" customHeight="1">
      <c r="A128" s="1"/>
      <c r="B128" s="1" t="str">
        <f t="shared" si="0"/>
        <v>0</v>
      </c>
      <c r="C128" s="1"/>
      <c r="D128" s="8"/>
      <c r="E128" s="35"/>
      <c r="F128" s="8"/>
      <c r="G128" s="10"/>
      <c r="H128" s="10"/>
      <c r="I128" s="1">
        <f t="shared" si="1"/>
        <v>0</v>
      </c>
      <c r="J128" s="2"/>
      <c r="K128" s="2"/>
      <c r="L128" s="26"/>
    </row>
    <row r="129" spans="1:12" ht="27" hidden="1" customHeight="1">
      <c r="A129" s="1"/>
      <c r="B129" s="1" t="str">
        <f t="shared" si="0"/>
        <v>0</v>
      </c>
      <c r="C129" s="1"/>
      <c r="D129" s="8"/>
      <c r="E129" s="35"/>
      <c r="F129" s="8"/>
      <c r="G129" s="10"/>
      <c r="H129" s="10"/>
      <c r="I129" s="1">
        <f t="shared" si="1"/>
        <v>0</v>
      </c>
      <c r="J129" s="2"/>
      <c r="K129" s="2"/>
      <c r="L129" s="26"/>
    </row>
    <row r="130" spans="1:12" ht="27" hidden="1" customHeight="1">
      <c r="A130" s="1"/>
      <c r="B130" s="1" t="str">
        <f t="shared" si="0"/>
        <v>0</v>
      </c>
      <c r="C130" s="1"/>
      <c r="D130" s="8"/>
      <c r="E130" s="35"/>
      <c r="F130" s="8"/>
      <c r="G130" s="10"/>
      <c r="H130" s="10"/>
      <c r="I130" s="1">
        <f t="shared" si="1"/>
        <v>0</v>
      </c>
      <c r="J130" s="2"/>
      <c r="K130" s="2"/>
      <c r="L130" s="26"/>
    </row>
    <row r="131" spans="1:12" ht="27" hidden="1" customHeight="1">
      <c r="A131" s="1"/>
      <c r="B131" s="1" t="str">
        <f t="shared" si="0"/>
        <v>0</v>
      </c>
      <c r="C131" s="1"/>
      <c r="D131" s="8"/>
      <c r="E131" s="35"/>
      <c r="F131" s="8"/>
      <c r="G131" s="10"/>
      <c r="H131" s="10"/>
      <c r="I131" s="1">
        <f t="shared" si="1"/>
        <v>0</v>
      </c>
      <c r="J131" s="2"/>
      <c r="K131" s="2"/>
      <c r="L131" s="26"/>
    </row>
    <row r="132" spans="1:12" ht="27" hidden="1" customHeight="1">
      <c r="A132" s="1"/>
      <c r="B132" s="1" t="str">
        <f t="shared" si="0"/>
        <v>0</v>
      </c>
      <c r="C132" s="1"/>
      <c r="D132" s="8"/>
      <c r="E132" s="35"/>
      <c r="F132" s="8"/>
      <c r="G132" s="10"/>
      <c r="H132" s="10"/>
      <c r="I132" s="1">
        <f t="shared" si="1"/>
        <v>0</v>
      </c>
      <c r="J132" s="2"/>
      <c r="K132" s="2"/>
      <c r="L132" s="26"/>
    </row>
    <row r="133" spans="1:12" ht="27" hidden="1" customHeight="1">
      <c r="A133" s="1"/>
      <c r="B133" s="1" t="str">
        <f t="shared" si="0"/>
        <v>0</v>
      </c>
      <c r="C133" s="1"/>
      <c r="D133" s="8"/>
      <c r="E133" s="35"/>
      <c r="F133" s="8"/>
      <c r="G133" s="10"/>
      <c r="H133" s="10"/>
      <c r="I133" s="1">
        <f t="shared" si="1"/>
        <v>0</v>
      </c>
      <c r="J133" s="2"/>
      <c r="K133" s="2"/>
      <c r="L133" s="26"/>
    </row>
    <row r="134" spans="1:12" ht="27" hidden="1" customHeight="1">
      <c r="A134" s="1"/>
      <c r="B134" s="1" t="str">
        <f t="shared" si="0"/>
        <v>0</v>
      </c>
      <c r="C134" s="1"/>
      <c r="D134" s="8"/>
      <c r="E134" s="35"/>
      <c r="F134" s="8"/>
      <c r="G134" s="10"/>
      <c r="H134" s="10"/>
      <c r="I134" s="1">
        <f t="shared" si="1"/>
        <v>0</v>
      </c>
      <c r="J134" s="2"/>
      <c r="K134" s="2"/>
      <c r="L134" s="26"/>
    </row>
    <row r="135" spans="1:12" ht="27" hidden="1" customHeight="1">
      <c r="A135" s="1"/>
      <c r="B135" s="1" t="str">
        <f t="shared" si="0"/>
        <v>0</v>
      </c>
      <c r="C135" s="1"/>
      <c r="D135" s="8"/>
      <c r="E135" s="35"/>
      <c r="F135" s="8"/>
      <c r="G135" s="10"/>
      <c r="H135" s="10"/>
      <c r="I135" s="1">
        <f t="shared" si="1"/>
        <v>0</v>
      </c>
      <c r="J135" s="2"/>
      <c r="K135" s="2"/>
      <c r="L135" s="26"/>
    </row>
    <row r="136" spans="1:12" ht="27" hidden="1" customHeight="1">
      <c r="A136" s="1"/>
      <c r="B136" s="1" t="str">
        <f t="shared" si="0"/>
        <v>0</v>
      </c>
      <c r="C136" s="1"/>
      <c r="D136" s="8"/>
      <c r="E136" s="35"/>
      <c r="F136" s="8"/>
      <c r="G136" s="10"/>
      <c r="H136" s="10"/>
      <c r="I136" s="1">
        <f t="shared" si="1"/>
        <v>0</v>
      </c>
      <c r="J136" s="2"/>
      <c r="K136" s="2"/>
      <c r="L136" s="26"/>
    </row>
    <row r="137" spans="1:12" ht="27" hidden="1" customHeight="1">
      <c r="A137" s="1"/>
      <c r="B137" s="1" t="str">
        <f t="shared" si="0"/>
        <v>0</v>
      </c>
      <c r="C137" s="1"/>
      <c r="D137" s="8"/>
      <c r="E137" s="35"/>
      <c r="F137" s="8"/>
      <c r="G137" s="10"/>
      <c r="H137" s="10"/>
      <c r="I137" s="1">
        <f t="shared" si="1"/>
        <v>0</v>
      </c>
      <c r="J137" s="2"/>
      <c r="K137" s="2"/>
      <c r="L137" s="26"/>
    </row>
    <row r="138" spans="1:12" ht="27" hidden="1" customHeight="1">
      <c r="A138" s="1"/>
      <c r="B138" s="1" t="str">
        <f t="shared" si="0"/>
        <v>0</v>
      </c>
      <c r="C138" s="1"/>
      <c r="D138" s="8"/>
      <c r="E138" s="35"/>
      <c r="F138" s="8"/>
      <c r="G138" s="10"/>
      <c r="H138" s="10"/>
      <c r="I138" s="1">
        <f t="shared" si="1"/>
        <v>0</v>
      </c>
      <c r="J138" s="2"/>
      <c r="K138" s="2"/>
      <c r="L138" s="26"/>
    </row>
    <row r="139" spans="1:12" ht="27" hidden="1" customHeight="1">
      <c r="A139" s="1"/>
      <c r="B139" s="1" t="str">
        <f t="shared" si="0"/>
        <v>0</v>
      </c>
      <c r="C139" s="1"/>
      <c r="D139" s="8"/>
      <c r="E139" s="35"/>
      <c r="F139" s="8"/>
      <c r="G139" s="10"/>
      <c r="H139" s="10"/>
      <c r="I139" s="1">
        <f t="shared" si="1"/>
        <v>0</v>
      </c>
      <c r="J139" s="2"/>
      <c r="K139" s="2"/>
      <c r="L139" s="26"/>
    </row>
    <row r="140" spans="1:12" ht="27" hidden="1" customHeight="1">
      <c r="A140" s="1"/>
      <c r="B140" s="1" t="str">
        <f t="shared" si="0"/>
        <v>0</v>
      </c>
      <c r="C140" s="1"/>
      <c r="D140" s="8"/>
      <c r="E140" s="35"/>
      <c r="F140" s="8"/>
      <c r="G140" s="10"/>
      <c r="H140" s="10"/>
      <c r="I140" s="1">
        <f t="shared" si="1"/>
        <v>0</v>
      </c>
      <c r="J140" s="2"/>
      <c r="K140" s="2"/>
      <c r="L140" s="26"/>
    </row>
    <row r="141" spans="1:12" ht="27" hidden="1" customHeight="1">
      <c r="A141" s="1"/>
      <c r="B141" s="1" t="str">
        <f t="shared" si="0"/>
        <v>0</v>
      </c>
      <c r="C141" s="1"/>
      <c r="D141" s="8"/>
      <c r="E141" s="35"/>
      <c r="F141" s="8"/>
      <c r="G141" s="10"/>
      <c r="H141" s="10"/>
      <c r="I141" s="1">
        <f t="shared" si="1"/>
        <v>0</v>
      </c>
      <c r="J141" s="2"/>
      <c r="K141" s="2"/>
      <c r="L141" s="26"/>
    </row>
    <row r="142" spans="1:12" ht="27" hidden="1" customHeight="1">
      <c r="A142" s="1"/>
      <c r="B142" s="1" t="str">
        <f t="shared" si="0"/>
        <v>0</v>
      </c>
      <c r="C142" s="1"/>
      <c r="D142" s="8"/>
      <c r="E142" s="35"/>
      <c r="F142" s="8"/>
      <c r="G142" s="10"/>
      <c r="H142" s="10"/>
      <c r="I142" s="1">
        <f t="shared" si="1"/>
        <v>0</v>
      </c>
      <c r="J142" s="2"/>
      <c r="K142" s="2"/>
      <c r="L142" s="26"/>
    </row>
    <row r="143" spans="1:12" ht="27" hidden="1" customHeight="1">
      <c r="A143" s="1"/>
      <c r="B143" s="1" t="str">
        <f t="shared" si="0"/>
        <v>0</v>
      </c>
      <c r="C143" s="1"/>
      <c r="D143" s="8"/>
      <c r="E143" s="35"/>
      <c r="F143" s="8"/>
      <c r="G143" s="10"/>
      <c r="H143" s="10"/>
      <c r="I143" s="1">
        <f t="shared" si="1"/>
        <v>0</v>
      </c>
      <c r="J143" s="2"/>
      <c r="K143" s="2"/>
      <c r="L143" s="26"/>
    </row>
    <row r="144" spans="1:12" ht="27" hidden="1" customHeight="1">
      <c r="A144" s="1"/>
      <c r="B144" s="1" t="str">
        <f t="shared" si="0"/>
        <v>0</v>
      </c>
      <c r="C144" s="1"/>
      <c r="D144" s="8"/>
      <c r="E144" s="35"/>
      <c r="F144" s="8"/>
      <c r="G144" s="10"/>
      <c r="H144" s="10"/>
      <c r="I144" s="1">
        <f t="shared" si="1"/>
        <v>0</v>
      </c>
      <c r="J144" s="2"/>
      <c r="K144" s="2"/>
      <c r="L144" s="26"/>
    </row>
    <row r="145" spans="1:12" ht="27" hidden="1" customHeight="1">
      <c r="A145" s="1"/>
      <c r="B145" s="1" t="str">
        <f t="shared" si="0"/>
        <v>0</v>
      </c>
      <c r="C145" s="1"/>
      <c r="D145" s="8"/>
      <c r="E145" s="35"/>
      <c r="F145" s="8"/>
      <c r="G145" s="10"/>
      <c r="H145" s="10"/>
      <c r="I145" s="1">
        <f t="shared" si="1"/>
        <v>0</v>
      </c>
      <c r="J145" s="2"/>
      <c r="K145" s="2"/>
      <c r="L145" s="26"/>
    </row>
    <row r="146" spans="1:12" ht="27" hidden="1" customHeight="1">
      <c r="A146" s="1"/>
      <c r="B146" s="1" t="str">
        <f t="shared" si="0"/>
        <v>0</v>
      </c>
      <c r="C146" s="1"/>
      <c r="D146" s="8"/>
      <c r="E146" s="35"/>
      <c r="F146" s="8"/>
      <c r="G146" s="10"/>
      <c r="H146" s="10"/>
      <c r="I146" s="1">
        <f t="shared" si="1"/>
        <v>0</v>
      </c>
      <c r="J146" s="2"/>
      <c r="K146" s="2"/>
      <c r="L146" s="26"/>
    </row>
    <row r="147" spans="1:12" ht="27" hidden="1" customHeight="1">
      <c r="A147" s="1"/>
      <c r="B147" s="1" t="str">
        <f t="shared" si="0"/>
        <v>0</v>
      </c>
      <c r="C147" s="1"/>
      <c r="D147" s="8"/>
      <c r="E147" s="35"/>
      <c r="F147" s="8"/>
      <c r="G147" s="10"/>
      <c r="H147" s="10"/>
      <c r="I147" s="1">
        <f t="shared" si="1"/>
        <v>0</v>
      </c>
      <c r="J147" s="2"/>
      <c r="K147" s="2"/>
      <c r="L147" s="26"/>
    </row>
    <row r="148" spans="1:12" ht="27" hidden="1" customHeight="1">
      <c r="A148" s="1"/>
      <c r="B148" s="1" t="str">
        <f t="shared" si="0"/>
        <v>0</v>
      </c>
      <c r="C148" s="1"/>
      <c r="D148" s="8"/>
      <c r="E148" s="35"/>
      <c r="F148" s="8"/>
      <c r="G148" s="10"/>
      <c r="H148" s="10"/>
      <c r="I148" s="1">
        <f t="shared" si="1"/>
        <v>0</v>
      </c>
      <c r="J148" s="2"/>
      <c r="K148" s="2"/>
      <c r="L148" s="26"/>
    </row>
    <row r="149" spans="1:12" ht="27" hidden="1" customHeight="1">
      <c r="A149" s="1"/>
      <c r="B149" s="1" t="str">
        <f t="shared" si="0"/>
        <v>0</v>
      </c>
      <c r="C149" s="1"/>
      <c r="D149" s="8"/>
      <c r="E149" s="36"/>
      <c r="F149" s="29"/>
      <c r="G149" s="30"/>
      <c r="H149" s="30"/>
      <c r="I149" s="1">
        <f t="shared" si="1"/>
        <v>0</v>
      </c>
      <c r="J149" s="2"/>
      <c r="K149" s="2"/>
      <c r="L149" s="26"/>
    </row>
    <row r="150" spans="1:12" ht="27" hidden="1" customHeight="1">
      <c r="A150" s="1"/>
      <c r="B150" s="1" t="str">
        <f t="shared" si="0"/>
        <v>0</v>
      </c>
      <c r="C150" s="1"/>
      <c r="D150" s="8"/>
      <c r="E150" s="37"/>
      <c r="F150" s="8"/>
      <c r="G150" s="10"/>
      <c r="H150" s="10"/>
      <c r="I150" s="1">
        <f t="shared" si="1"/>
        <v>0</v>
      </c>
      <c r="J150" s="2"/>
      <c r="K150" s="2"/>
      <c r="L150" s="26"/>
    </row>
    <row r="151" spans="1:12" ht="27" hidden="1" customHeight="1">
      <c r="A151" s="1"/>
      <c r="B151" s="1" t="str">
        <f t="shared" si="0"/>
        <v>0</v>
      </c>
      <c r="C151" s="1"/>
      <c r="D151" s="8"/>
      <c r="E151" s="37"/>
      <c r="F151" s="8"/>
      <c r="G151" s="10"/>
      <c r="H151" s="10"/>
      <c r="I151" s="1">
        <f t="shared" si="1"/>
        <v>0</v>
      </c>
      <c r="J151" s="2"/>
      <c r="K151" s="2"/>
      <c r="L151" s="26"/>
    </row>
    <row r="152" spans="1:12" ht="27" hidden="1" customHeight="1">
      <c r="A152" s="1"/>
      <c r="B152" s="1" t="str">
        <f t="shared" si="0"/>
        <v>0</v>
      </c>
      <c r="C152" s="1"/>
      <c r="D152" s="8"/>
      <c r="E152" s="37"/>
      <c r="F152" s="8"/>
      <c r="G152" s="10"/>
      <c r="H152" s="10"/>
      <c r="I152" s="1">
        <f t="shared" si="1"/>
        <v>0</v>
      </c>
      <c r="J152" s="2"/>
      <c r="K152" s="2"/>
      <c r="L152" s="26"/>
    </row>
    <row r="153" spans="1:12" ht="27" hidden="1" customHeight="1">
      <c r="A153" s="1"/>
      <c r="B153" s="1" t="str">
        <f t="shared" si="0"/>
        <v>0</v>
      </c>
      <c r="C153" s="1"/>
      <c r="D153" s="8"/>
      <c r="E153" s="37"/>
      <c r="F153" s="8"/>
      <c r="G153" s="10"/>
      <c r="H153" s="10"/>
      <c r="I153" s="1">
        <f t="shared" si="1"/>
        <v>0</v>
      </c>
      <c r="J153" s="2"/>
      <c r="K153" s="2"/>
      <c r="L153" s="26"/>
    </row>
    <row r="154" spans="1:12" ht="27" hidden="1" customHeight="1">
      <c r="A154" s="1"/>
      <c r="B154" s="1" t="str">
        <f t="shared" si="0"/>
        <v>0</v>
      </c>
      <c r="C154" s="1"/>
      <c r="D154" s="8"/>
      <c r="E154" s="37"/>
      <c r="F154" s="8"/>
      <c r="G154" s="10"/>
      <c r="H154" s="10"/>
      <c r="I154" s="1">
        <f t="shared" si="1"/>
        <v>0</v>
      </c>
      <c r="J154" s="2"/>
      <c r="K154" s="2"/>
      <c r="L154" s="26"/>
    </row>
    <row r="155" spans="1:12" ht="27" hidden="1" customHeight="1">
      <c r="A155" s="1"/>
      <c r="B155" s="1" t="str">
        <f t="shared" si="0"/>
        <v>0</v>
      </c>
      <c r="C155" s="1"/>
      <c r="D155" s="8"/>
      <c r="E155" s="37"/>
      <c r="F155" s="8"/>
      <c r="G155" s="10"/>
      <c r="H155" s="10"/>
      <c r="I155" s="1">
        <f t="shared" si="1"/>
        <v>0</v>
      </c>
      <c r="J155" s="2"/>
      <c r="K155" s="2"/>
      <c r="L155" s="26"/>
    </row>
    <row r="156" spans="1:12" ht="27" hidden="1" customHeight="1">
      <c r="A156" s="1"/>
      <c r="B156" s="1" t="str">
        <f t="shared" si="0"/>
        <v>0</v>
      </c>
      <c r="C156" s="1"/>
      <c r="D156" s="8"/>
      <c r="E156" s="37"/>
      <c r="F156" s="8"/>
      <c r="G156" s="10"/>
      <c r="H156" s="10"/>
      <c r="I156" s="1">
        <f t="shared" si="1"/>
        <v>0</v>
      </c>
      <c r="J156" s="2"/>
      <c r="K156" s="2"/>
      <c r="L156" s="26"/>
    </row>
    <row r="157" spans="1:12" ht="27" hidden="1" customHeight="1">
      <c r="A157" s="1"/>
      <c r="B157" s="1" t="str">
        <f t="shared" si="0"/>
        <v>0</v>
      </c>
      <c r="C157" s="1"/>
      <c r="D157" s="8"/>
      <c r="E157" s="37"/>
      <c r="F157" s="8"/>
      <c r="G157" s="10"/>
      <c r="H157" s="10"/>
      <c r="I157" s="1">
        <f t="shared" si="1"/>
        <v>0</v>
      </c>
      <c r="J157" s="2"/>
      <c r="K157" s="2"/>
      <c r="L157" s="26"/>
    </row>
    <row r="158" spans="1:12" ht="27" hidden="1" customHeight="1">
      <c r="A158" s="1"/>
      <c r="B158" s="1" t="str">
        <f t="shared" si="0"/>
        <v>0</v>
      </c>
      <c r="C158" s="1"/>
      <c r="D158" s="8"/>
      <c r="E158" s="37"/>
      <c r="F158" s="8"/>
      <c r="G158" s="10"/>
      <c r="H158" s="10"/>
      <c r="I158" s="1">
        <f t="shared" si="1"/>
        <v>0</v>
      </c>
      <c r="J158" s="2"/>
      <c r="K158" s="2"/>
      <c r="L158" s="26"/>
    </row>
    <row r="159" spans="1:12" ht="27" hidden="1" customHeight="1">
      <c r="A159" s="1"/>
      <c r="B159" s="1" t="str">
        <f t="shared" si="0"/>
        <v>0</v>
      </c>
      <c r="C159" s="1"/>
      <c r="D159" s="8"/>
      <c r="E159" s="37"/>
      <c r="F159" s="8"/>
      <c r="G159" s="10"/>
      <c r="H159" s="10"/>
      <c r="I159" s="1">
        <f t="shared" si="1"/>
        <v>0</v>
      </c>
      <c r="J159" s="2"/>
      <c r="K159" s="2"/>
      <c r="L159" s="26"/>
    </row>
    <row r="160" spans="1:12" ht="27" hidden="1" customHeight="1">
      <c r="A160" s="1"/>
      <c r="B160" s="1" t="str">
        <f t="shared" si="0"/>
        <v>0</v>
      </c>
      <c r="C160" s="1"/>
      <c r="D160" s="8"/>
      <c r="E160" s="37"/>
      <c r="F160" s="8"/>
      <c r="G160" s="10"/>
      <c r="H160" s="10"/>
      <c r="I160" s="1">
        <f t="shared" si="1"/>
        <v>0</v>
      </c>
      <c r="J160" s="2"/>
      <c r="K160" s="2"/>
      <c r="L160" s="26"/>
    </row>
    <row r="161" spans="1:12" ht="27" customHeight="1">
      <c r="A161" s="1"/>
      <c r="B161" s="1" t="str">
        <f t="shared" si="0"/>
        <v>1</v>
      </c>
      <c r="C161" s="1"/>
      <c r="D161" s="8"/>
      <c r="E161" s="37"/>
      <c r="F161" s="8"/>
      <c r="G161" s="10"/>
      <c r="H161" s="10"/>
      <c r="I161" s="1">
        <v>1</v>
      </c>
      <c r="J161" s="2"/>
      <c r="K161" s="2"/>
      <c r="L161" s="26"/>
    </row>
    <row r="162" spans="1:12" ht="27" customHeight="1">
      <c r="A162" s="1"/>
      <c r="B162" s="1" t="str">
        <f t="shared" si="0"/>
        <v>1</v>
      </c>
      <c r="C162" s="1"/>
      <c r="D162" s="8"/>
      <c r="E162" s="37"/>
      <c r="F162" s="8"/>
      <c r="G162" s="10"/>
      <c r="H162" s="10"/>
      <c r="I162" s="1">
        <v>1</v>
      </c>
      <c r="J162" s="2"/>
      <c r="K162" s="2"/>
      <c r="L162" s="26"/>
    </row>
    <row r="163" spans="1:12" ht="27" customHeight="1">
      <c r="A163" s="1"/>
      <c r="B163" s="1" t="str">
        <f t="shared" si="0"/>
        <v>1</v>
      </c>
      <c r="C163" s="1"/>
      <c r="D163" s="8"/>
      <c r="E163" s="37"/>
      <c r="F163" s="8"/>
      <c r="G163" s="10"/>
      <c r="H163" s="10"/>
      <c r="I163" s="1">
        <v>1</v>
      </c>
      <c r="J163" s="2"/>
      <c r="K163" s="2"/>
      <c r="L163" s="26"/>
    </row>
    <row r="164" spans="1:12" ht="27" customHeight="1">
      <c r="A164" s="1"/>
      <c r="B164" s="1" t="str">
        <f t="shared" si="0"/>
        <v>1</v>
      </c>
      <c r="C164" s="1"/>
      <c r="D164" s="8"/>
      <c r="E164" s="37"/>
      <c r="F164" s="8"/>
      <c r="G164" s="10"/>
      <c r="H164" s="10"/>
      <c r="I164" s="1">
        <v>1</v>
      </c>
      <c r="J164" s="2"/>
      <c r="K164" s="2"/>
      <c r="L164" s="26"/>
    </row>
    <row r="165" spans="1:12" ht="27" customHeight="1">
      <c r="A165" s="1"/>
      <c r="B165" s="1" t="str">
        <f t="shared" si="0"/>
        <v>1</v>
      </c>
      <c r="C165" s="1"/>
      <c r="D165" s="8"/>
      <c r="E165" s="37"/>
      <c r="F165" s="8"/>
      <c r="G165" s="10"/>
      <c r="H165" s="10"/>
      <c r="I165" s="1">
        <v>1</v>
      </c>
      <c r="J165" s="2"/>
      <c r="K165" s="2"/>
      <c r="L165" s="26"/>
    </row>
    <row r="166" spans="1:12" ht="27" customHeight="1">
      <c r="A166" s="1"/>
      <c r="B166" s="1" t="str">
        <f t="shared" si="0"/>
        <v>1</v>
      </c>
      <c r="C166" s="1"/>
      <c r="D166" s="8"/>
      <c r="E166" s="37"/>
      <c r="F166" s="8"/>
      <c r="G166" s="10"/>
      <c r="H166" s="10"/>
      <c r="I166" s="1">
        <v>1</v>
      </c>
      <c r="J166" s="2"/>
      <c r="K166" s="2"/>
      <c r="L166" s="26"/>
    </row>
    <row r="167" spans="1:12" ht="27" customHeight="1">
      <c r="A167" s="1"/>
      <c r="B167" s="1" t="str">
        <f t="shared" si="0"/>
        <v>1</v>
      </c>
      <c r="C167" s="1"/>
      <c r="D167" s="8"/>
      <c r="E167" s="37"/>
      <c r="F167" s="8"/>
      <c r="G167" s="10"/>
      <c r="H167" s="10"/>
      <c r="I167" s="1">
        <v>1</v>
      </c>
      <c r="J167" s="2"/>
      <c r="K167" s="2"/>
      <c r="L167" s="26"/>
    </row>
    <row r="168" spans="1:12" ht="27" customHeight="1">
      <c r="A168" s="1"/>
      <c r="B168" s="1" t="str">
        <f t="shared" si="0"/>
        <v>1</v>
      </c>
      <c r="C168" s="1"/>
      <c r="D168" s="8"/>
      <c r="E168" s="37"/>
      <c r="F168" s="8"/>
      <c r="G168" s="10"/>
      <c r="H168" s="10"/>
      <c r="I168" s="1">
        <v>1</v>
      </c>
      <c r="J168" s="2"/>
      <c r="K168" s="2"/>
      <c r="L168" s="26"/>
    </row>
    <row r="169" spans="1:12" ht="27" customHeight="1">
      <c r="A169" s="1"/>
      <c r="B169" s="1" t="str">
        <f t="shared" si="0"/>
        <v>1</v>
      </c>
      <c r="C169" s="1"/>
      <c r="D169" s="8"/>
      <c r="E169" s="37"/>
      <c r="F169" s="8"/>
      <c r="G169" s="10"/>
      <c r="H169" s="10"/>
      <c r="I169" s="1">
        <v>1</v>
      </c>
      <c r="J169" s="2"/>
      <c r="K169" s="2"/>
      <c r="L169" s="26"/>
    </row>
    <row r="170" spans="1:12" ht="27" customHeight="1">
      <c r="A170" s="1"/>
      <c r="B170" s="1" t="str">
        <f t="shared" si="0"/>
        <v>1</v>
      </c>
      <c r="C170" s="1"/>
      <c r="D170" s="8"/>
      <c r="E170" s="37"/>
      <c r="F170" s="8"/>
      <c r="G170" s="10"/>
      <c r="H170" s="10"/>
      <c r="I170" s="1">
        <v>1</v>
      </c>
      <c r="J170" s="2"/>
      <c r="K170" s="2"/>
      <c r="L170" s="26"/>
    </row>
    <row r="171" spans="1:12" ht="27" customHeight="1">
      <c r="A171" s="1"/>
      <c r="B171" s="1" t="str">
        <f t="shared" si="0"/>
        <v>1</v>
      </c>
      <c r="C171" s="1"/>
      <c r="D171" s="8"/>
      <c r="E171" s="38"/>
      <c r="F171" s="8"/>
      <c r="G171" s="10"/>
      <c r="H171" s="10"/>
      <c r="I171" s="1">
        <v>1</v>
      </c>
      <c r="J171" s="2"/>
      <c r="K171" s="2"/>
      <c r="L171" s="26"/>
    </row>
    <row r="172" spans="1:12" ht="27" customHeight="1">
      <c r="A172" s="1"/>
      <c r="B172" s="1" t="str">
        <f t="shared" si="0"/>
        <v>1</v>
      </c>
      <c r="C172" s="1"/>
      <c r="D172" s="8"/>
      <c r="E172" s="38"/>
      <c r="F172" s="8"/>
      <c r="G172" s="10"/>
      <c r="H172" s="10"/>
      <c r="I172" s="1">
        <v>1</v>
      </c>
      <c r="J172" s="2"/>
      <c r="K172" s="2"/>
      <c r="L172" s="26"/>
    </row>
    <row r="173" spans="1:12" ht="27" customHeight="1">
      <c r="A173" s="1"/>
      <c r="B173" s="1" t="str">
        <f t="shared" si="0"/>
        <v>1</v>
      </c>
      <c r="C173" s="1"/>
      <c r="D173" s="8"/>
      <c r="E173" s="38"/>
      <c r="F173" s="8"/>
      <c r="G173" s="10"/>
      <c r="H173" s="10"/>
      <c r="I173" s="1">
        <v>1</v>
      </c>
      <c r="J173" s="2"/>
      <c r="K173" s="2"/>
      <c r="L173" s="26"/>
    </row>
    <row r="174" spans="1:12" ht="27" customHeight="1">
      <c r="A174" s="1"/>
      <c r="B174" s="1" t="str">
        <f t="shared" si="0"/>
        <v>1</v>
      </c>
      <c r="C174" s="1"/>
      <c r="D174" s="8"/>
      <c r="E174" s="38"/>
      <c r="F174" s="8"/>
      <c r="G174" s="10"/>
      <c r="H174" s="10"/>
      <c r="I174" s="1">
        <v>1</v>
      </c>
      <c r="J174" s="2"/>
      <c r="K174" s="2"/>
      <c r="L174" s="26"/>
    </row>
    <row r="175" spans="1:12" ht="27" customHeight="1">
      <c r="A175" s="1"/>
      <c r="B175" s="1" t="str">
        <f t="shared" si="0"/>
        <v>1</v>
      </c>
      <c r="C175" s="1"/>
      <c r="D175" s="8"/>
      <c r="E175" s="38"/>
      <c r="F175" s="8"/>
      <c r="G175" s="10"/>
      <c r="H175" s="10"/>
      <c r="I175" s="1">
        <v>1</v>
      </c>
      <c r="J175" s="2"/>
      <c r="K175" s="2"/>
      <c r="L175" s="26"/>
    </row>
    <row r="176" spans="1:12" ht="27" customHeight="1">
      <c r="A176" s="1"/>
      <c r="B176" s="1" t="str">
        <f t="shared" si="0"/>
        <v>1</v>
      </c>
      <c r="C176" s="1"/>
      <c r="D176" s="8"/>
      <c r="E176" s="38"/>
      <c r="F176" s="8"/>
      <c r="G176" s="10"/>
      <c r="H176" s="10"/>
      <c r="I176" s="1">
        <v>1</v>
      </c>
      <c r="J176" s="2"/>
      <c r="K176" s="2"/>
      <c r="L176" s="26"/>
    </row>
    <row r="177" spans="1:12" ht="27" customHeight="1">
      <c r="A177" s="1"/>
      <c r="B177" s="1" t="str">
        <f t="shared" si="0"/>
        <v>1</v>
      </c>
      <c r="C177" s="1"/>
      <c r="D177" s="8"/>
      <c r="E177" s="38"/>
      <c r="F177" s="8"/>
      <c r="G177" s="10"/>
      <c r="H177" s="10"/>
      <c r="I177" s="1">
        <v>1</v>
      </c>
      <c r="J177" s="2"/>
      <c r="K177" s="2"/>
      <c r="L177" s="26"/>
    </row>
    <row r="178" spans="1:12" ht="15.75" customHeight="1">
      <c r="A178" s="1"/>
      <c r="B178" s="1"/>
      <c r="C178" s="1"/>
      <c r="D178" s="11"/>
      <c r="E178" s="12"/>
      <c r="F178" s="13"/>
      <c r="G178" s="14"/>
      <c r="H178" s="8"/>
      <c r="I178" s="1">
        <v>1</v>
      </c>
      <c r="J178" s="2"/>
      <c r="K178" s="2"/>
      <c r="L178" s="26"/>
    </row>
    <row r="179" spans="1:12" ht="27" customHeight="1">
      <c r="A179" s="1"/>
      <c r="B179" s="1"/>
      <c r="C179" s="1"/>
      <c r="D179" s="155" t="s">
        <v>60</v>
      </c>
      <c r="E179" s="148"/>
      <c r="F179" s="148"/>
      <c r="G179" s="31">
        <f>SUMIF(I:I,1,G:G)</f>
        <v>0</v>
      </c>
      <c r="H179" s="32"/>
      <c r="I179" s="1"/>
      <c r="J179" s="2"/>
      <c r="K179" s="2"/>
      <c r="L179" s="26">
        <f>SUMIF(I:I,1,G:G)</f>
        <v>0</v>
      </c>
    </row>
    <row r="180" spans="1:12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2"/>
      <c r="L180" s="26"/>
    </row>
    <row r="181" spans="1:12" ht="16.5" customHeight="1">
      <c r="A181" s="19"/>
      <c r="B181" s="19"/>
      <c r="C181" s="19"/>
      <c r="D181" s="19"/>
      <c r="E181" s="19" t="s">
        <v>61</v>
      </c>
      <c r="F181" s="19"/>
      <c r="G181" s="142" t="s">
        <v>13</v>
      </c>
      <c r="H181" s="144"/>
      <c r="I181" s="19"/>
      <c r="J181" s="19"/>
      <c r="K181" s="19"/>
      <c r="L181" s="26"/>
    </row>
    <row r="182" spans="1:12" ht="16.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26"/>
    </row>
    <row r="183" spans="1:12" ht="16.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26"/>
    </row>
    <row r="184" spans="1:12" ht="16.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26"/>
    </row>
    <row r="185" spans="1:12" ht="16.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26"/>
    </row>
    <row r="186" spans="1:12" ht="16.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26"/>
    </row>
    <row r="187" spans="1:12" ht="16.5" customHeight="1">
      <c r="A187" s="19"/>
      <c r="B187" s="19"/>
      <c r="C187" s="19"/>
      <c r="D187" s="19"/>
      <c r="E187" s="19"/>
      <c r="F187" s="19"/>
      <c r="G187" s="142" t="s">
        <v>16</v>
      </c>
      <c r="H187" s="144"/>
      <c r="I187" s="19"/>
      <c r="J187" s="19"/>
      <c r="K187" s="19"/>
      <c r="L187" s="26"/>
    </row>
  </sheetData>
  <autoFilter ref="D8:I179">
    <filterColumn colId="5">
      <filters>
        <filter val="1"/>
      </filters>
    </filterColumn>
  </autoFilter>
  <mergeCells count="5">
    <mergeCell ref="D6:H6"/>
    <mergeCell ref="D7:H7"/>
    <mergeCell ref="D179:F179"/>
    <mergeCell ref="G181:H181"/>
    <mergeCell ref="G187:H187"/>
  </mergeCells>
  <pageMargins left="0.98425196850393704" right="0.70866141732283472" top="0.74803149606299213" bottom="0.74803149606299213" header="0" footer="0"/>
  <pageSetup paperSize="9" orientation="portrait" r:id="rId1"/>
  <headerFooter>
    <oddFooter>&amp;R&amp;P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"/>
  <sheetViews>
    <sheetView workbookViewId="0">
      <selection activeCell="F44" sqref="F44"/>
    </sheetView>
  </sheetViews>
  <sheetFormatPr defaultRowHeight="14.4"/>
  <cols>
    <col min="4" max="4" width="106.44140625" bestFit="1" customWidth="1"/>
  </cols>
  <sheetData>
    <row r="2" spans="4:4">
      <c r="D2" s="4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J41"/>
  <sheetViews>
    <sheetView topLeftCell="B1" zoomScale="85" zoomScaleNormal="85" workbookViewId="0">
      <selection activeCell="F44" sqref="F44"/>
    </sheetView>
  </sheetViews>
  <sheetFormatPr defaultColWidth="9.109375" defaultRowHeight="16.8"/>
  <cols>
    <col min="1" max="1" width="10.6640625" style="49" customWidth="1"/>
    <col min="2" max="4" width="30.33203125" style="49" customWidth="1"/>
    <col min="5" max="5" width="9.109375" style="49"/>
    <col min="6" max="6" width="46" style="50" customWidth="1"/>
    <col min="7" max="7" width="7.44140625" style="49" customWidth="1"/>
    <col min="8" max="16384" width="9.109375" style="49"/>
  </cols>
  <sheetData>
    <row r="1" spans="1:10">
      <c r="E1" s="49" t="s">
        <v>10</v>
      </c>
      <c r="F1" s="50">
        <v>2018</v>
      </c>
      <c r="H1" s="49" t="s">
        <v>82</v>
      </c>
    </row>
    <row r="2" spans="1:10">
      <c r="A2" s="51" t="s">
        <v>69</v>
      </c>
      <c r="B2" s="52"/>
      <c r="C2" s="52"/>
      <c r="E2" s="49" t="str">
        <f>IF($G$12&gt;0,"x","")</f>
        <v>x</v>
      </c>
      <c r="F2" s="53" t="s">
        <v>70</v>
      </c>
      <c r="G2" s="49">
        <v>7</v>
      </c>
      <c r="H2" s="49">
        <v>1</v>
      </c>
    </row>
    <row r="3" spans="1:10">
      <c r="A3" s="51" t="s">
        <v>71</v>
      </c>
      <c r="B3" s="52"/>
      <c r="C3" s="52"/>
      <c r="E3" s="49" t="str">
        <f t="shared" ref="E3:E22" si="0">IF($G$12&gt;0,"x","")</f>
        <v>x</v>
      </c>
      <c r="F3" s="54" t="s">
        <v>72</v>
      </c>
      <c r="G3" s="49">
        <v>1</v>
      </c>
      <c r="H3" s="55">
        <f>IF(G3=1,9,IF(G3=2,10,12))</f>
        <v>9</v>
      </c>
    </row>
    <row r="4" spans="1:10">
      <c r="A4" s="56" t="s">
        <v>73</v>
      </c>
      <c r="B4" s="52"/>
      <c r="C4" s="52"/>
      <c r="E4" s="49" t="str">
        <f t="shared" si="0"/>
        <v>x</v>
      </c>
      <c r="F4" s="57" t="s">
        <v>63</v>
      </c>
      <c r="J4" s="49" t="str">
        <f>$G$2&amp;$H$2&amp;$F$1</f>
        <v>712018</v>
      </c>
    </row>
    <row r="5" spans="1:10">
      <c r="E5" s="49" t="str">
        <f t="shared" si="0"/>
        <v>x</v>
      </c>
      <c r="F5" s="58"/>
    </row>
    <row r="6" spans="1:10" s="59" customFormat="1" ht="29.25" customHeight="1">
      <c r="B6" s="60" t="s">
        <v>74</v>
      </c>
      <c r="C6" s="61"/>
      <c r="D6" s="61"/>
      <c r="E6" s="49" t="str">
        <f t="shared" si="0"/>
        <v>x</v>
      </c>
    </row>
    <row r="7" spans="1:10" ht="21.75" customHeight="1">
      <c r="D7" s="53" t="str">
        <f>IF(F5&lt;&gt;0,"Xuân Lộc, ngày "&amp;TEXT(F5,"dd")&amp;" tháng "&amp;TEXT(F5,"MM")&amp;" năm "&amp;TEXT(F5,"yyyy"),"Xuân Lộc, ngày       tháng         năm 2018")</f>
        <v>Xuân Lộc, ngày       tháng         năm 2018</v>
      </c>
      <c r="E7" s="49" t="str">
        <f t="shared" si="0"/>
        <v>x</v>
      </c>
    </row>
    <row r="8" spans="1:10" ht="17.25" customHeight="1">
      <c r="E8" s="49" t="str">
        <f t="shared" si="0"/>
        <v>x</v>
      </c>
    </row>
    <row r="9" spans="1:10" ht="24" customHeight="1">
      <c r="B9" s="62" t="str">
        <f>"Họ tên người đề nghị: "&amp;B19</f>
        <v>Họ tên người đề nghị: Lâm Phạm Duy</v>
      </c>
      <c r="E9" s="49" t="str">
        <f t="shared" si="0"/>
        <v>x</v>
      </c>
      <c r="G9" s="63" t="str">
        <f>"Xuân Lộc, ngày "&amp;TEXT(I7,"dd")&amp;" tháng "&amp;TEXT(I7,"MM")&amp;" năm "&amp;TEXT(I7,"yyyy")</f>
        <v>Xuân Lộc, ngày 00 tháng 01 năm 1900</v>
      </c>
    </row>
    <row r="10" spans="1:10" ht="24" customHeight="1">
      <c r="B10" s="62" t="s">
        <v>81</v>
      </c>
      <c r="E10" s="49" t="str">
        <f t="shared" si="0"/>
        <v>x</v>
      </c>
    </row>
    <row r="11" spans="1:10" ht="24" customHeight="1">
      <c r="B11" s="62" t="str">
        <f>"Nơi công tác: "&amp;F11&amp;G11&amp;"."</f>
        <v>Nơi công tác:  .</v>
      </c>
      <c r="E11" s="49" t="str">
        <f t="shared" si="0"/>
        <v>x</v>
      </c>
      <c r="F11" s="50" t="s">
        <v>83</v>
      </c>
    </row>
    <row r="12" spans="1:10" ht="24" customHeight="1">
      <c r="B12" s="62" t="str">
        <f>"Nội dung công tác: "&amp;F12&amp;" ("&amp;G12&amp;" lít)."</f>
        <v>Nội dung công tác: Tạm ứng dầu cho xe 7 chỗ BKS 60L - 2638 ( lít).</v>
      </c>
      <c r="E12" s="49" t="str">
        <f t="shared" si="0"/>
        <v>x</v>
      </c>
      <c r="F12" s="50" t="s">
        <v>84</v>
      </c>
      <c r="G12" s="64" t="str">
        <f>IFERROR(VLOOKUP($G$2&amp;$H$2&amp;$F$1,#REF!,$H$3,0),"")</f>
        <v/>
      </c>
    </row>
    <row r="13" spans="1:10">
      <c r="E13" s="49" t="str">
        <f t="shared" si="0"/>
        <v>x</v>
      </c>
    </row>
    <row r="14" spans="1:10" ht="17.399999999999999">
      <c r="B14" s="65" t="s">
        <v>77</v>
      </c>
      <c r="C14" s="65" t="s">
        <v>78</v>
      </c>
      <c r="D14" s="65" t="s">
        <v>14</v>
      </c>
      <c r="E14" s="49" t="str">
        <f t="shared" si="0"/>
        <v>x</v>
      </c>
      <c r="F14" s="50" t="str">
        <f>UPPER(D14)</f>
        <v>GIÁM ĐỐC</v>
      </c>
    </row>
    <row r="15" spans="1:10" ht="17.399999999999999">
      <c r="B15" s="66"/>
      <c r="C15" s="66"/>
      <c r="D15" s="66"/>
      <c r="E15" s="49" t="str">
        <f t="shared" si="0"/>
        <v>x</v>
      </c>
    </row>
    <row r="16" spans="1:10" ht="17.399999999999999">
      <c r="B16" s="66"/>
      <c r="C16" s="66"/>
      <c r="D16" s="66"/>
      <c r="E16" s="49" t="str">
        <f t="shared" si="0"/>
        <v>x</v>
      </c>
    </row>
    <row r="17" spans="1:7" ht="17.399999999999999">
      <c r="B17" s="66"/>
      <c r="C17" s="66"/>
      <c r="D17" s="66"/>
      <c r="E17" s="49" t="str">
        <f t="shared" si="0"/>
        <v>x</v>
      </c>
    </row>
    <row r="18" spans="1:7" ht="17.399999999999999">
      <c r="B18" s="66"/>
      <c r="C18" s="66"/>
      <c r="D18" s="66"/>
      <c r="E18" s="49" t="str">
        <f t="shared" si="0"/>
        <v>x</v>
      </c>
    </row>
    <row r="19" spans="1:7" ht="17.399999999999999">
      <c r="B19" s="67" t="s">
        <v>62</v>
      </c>
      <c r="C19" s="67" t="s">
        <v>80</v>
      </c>
      <c r="D19" s="68" t="s">
        <v>15</v>
      </c>
      <c r="E19" s="49" t="str">
        <f t="shared" si="0"/>
        <v>x</v>
      </c>
    </row>
    <row r="20" spans="1:7" ht="17.399999999999999">
      <c r="E20" s="49" t="str">
        <f t="shared" si="0"/>
        <v>x</v>
      </c>
      <c r="G20" s="67"/>
    </row>
    <row r="21" spans="1:7">
      <c r="E21" s="49" t="str">
        <f t="shared" si="0"/>
        <v>x</v>
      </c>
    </row>
    <row r="22" spans="1:7">
      <c r="B22" s="49" t="s">
        <v>79</v>
      </c>
      <c r="D22" s="69" t="s">
        <v>79</v>
      </c>
      <c r="E22" s="49" t="str">
        <f t="shared" si="0"/>
        <v>x</v>
      </c>
    </row>
    <row r="23" spans="1:7" hidden="1">
      <c r="B23" s="70"/>
      <c r="E23" s="49" t="str">
        <f>IF($G$34&gt;0,"x","")</f>
        <v/>
      </c>
    </row>
    <row r="24" spans="1:7" hidden="1">
      <c r="A24" s="51" t="s">
        <v>69</v>
      </c>
      <c r="B24" s="51"/>
      <c r="C24" s="71"/>
      <c r="E24" s="49" t="str">
        <f t="shared" ref="E24:E41" si="1">IF($G$34&gt;0,"x","")</f>
        <v/>
      </c>
    </row>
    <row r="25" spans="1:7" hidden="1">
      <c r="A25" s="51" t="s">
        <v>71</v>
      </c>
      <c r="B25" s="51"/>
      <c r="C25" s="71"/>
      <c r="E25" s="49" t="str">
        <f t="shared" si="1"/>
        <v/>
      </c>
    </row>
    <row r="26" spans="1:7" hidden="1">
      <c r="A26" s="56" t="s">
        <v>73</v>
      </c>
      <c r="B26" s="72"/>
      <c r="C26" s="71"/>
      <c r="E26" s="49" t="str">
        <f t="shared" si="1"/>
        <v/>
      </c>
      <c r="F26" s="57" t="s">
        <v>63</v>
      </c>
    </row>
    <row r="27" spans="1:7" hidden="1">
      <c r="E27" s="49" t="str">
        <f t="shared" si="1"/>
        <v/>
      </c>
      <c r="F27" s="58"/>
    </row>
    <row r="28" spans="1:7" s="50" customFormat="1" ht="27.75" hidden="1" customHeight="1">
      <c r="A28" s="59"/>
      <c r="B28" s="60" t="s">
        <v>74</v>
      </c>
      <c r="C28" s="61"/>
      <c r="D28" s="61"/>
      <c r="E28" s="49" t="str">
        <f t="shared" si="1"/>
        <v/>
      </c>
      <c r="F28" s="73"/>
    </row>
    <row r="29" spans="1:7" hidden="1">
      <c r="D29" s="53" t="str">
        <f>IF(F27&lt;&gt;0,"Xuân Lộc, ngày "&amp;TEXT(F27,"dd")&amp;" tháng "&amp;TEXT(F27,"MM")&amp;" năm "&amp;TEXT(F27,"yyyy"),"Xuân Lộc, ngày       tháng         năm 2018")</f>
        <v>Xuân Lộc, ngày       tháng         năm 2018</v>
      </c>
      <c r="E29" s="49" t="str">
        <f t="shared" si="1"/>
        <v/>
      </c>
    </row>
    <row r="30" spans="1:7" hidden="1">
      <c r="E30" s="49" t="str">
        <f t="shared" si="1"/>
        <v/>
      </c>
    </row>
    <row r="31" spans="1:7" ht="23.25" hidden="1" customHeight="1">
      <c r="B31" s="62" t="str">
        <f>"Họ tên người đề nghị: "&amp;B41</f>
        <v>Họ tên người đề nghị: Lâm Phạm Duy</v>
      </c>
      <c r="E31" s="49" t="str">
        <f t="shared" si="1"/>
        <v/>
      </c>
    </row>
    <row r="32" spans="1:7" ht="23.25" hidden="1" customHeight="1">
      <c r="B32" s="62" t="s">
        <v>75</v>
      </c>
      <c r="E32" s="49" t="str">
        <f t="shared" si="1"/>
        <v/>
      </c>
    </row>
    <row r="33" spans="2:8" ht="23.25" hidden="1" customHeight="1">
      <c r="B33" s="62" t="str">
        <f>"Nơi công tác: "&amp;F33&amp;G33&amp;"."</f>
        <v>Nơi công tác: Huyện Xuân Lộc.</v>
      </c>
      <c r="E33" s="49" t="str">
        <f t="shared" si="1"/>
        <v/>
      </c>
      <c r="F33" s="74" t="s">
        <v>64</v>
      </c>
    </row>
    <row r="34" spans="2:8" ht="23.25" hidden="1" customHeight="1">
      <c r="B34" s="62" t="str">
        <f>"Nội dung công tác: "&amp;F34&amp;" ("&amp;G34&amp;" lít)."</f>
        <v>Nội dung công tác: Tạm ứng dầu cho xe bán tải 60C-321.90 (0 lít).</v>
      </c>
      <c r="E34" s="49" t="str">
        <f t="shared" si="1"/>
        <v/>
      </c>
      <c r="F34" s="50" t="s">
        <v>76</v>
      </c>
      <c r="G34" s="64">
        <f>IFERROR(VLOOKUP($G$2&amp;$F$1,#REF!,$H$3+1,0),0)</f>
        <v>0</v>
      </c>
      <c r="H34" s="55">
        <f>G34</f>
        <v>0</v>
      </c>
    </row>
    <row r="35" spans="2:8" hidden="1">
      <c r="E35" s="49" t="str">
        <f t="shared" si="1"/>
        <v/>
      </c>
    </row>
    <row r="36" spans="2:8" ht="17.399999999999999" hidden="1">
      <c r="B36" s="65" t="s">
        <v>77</v>
      </c>
      <c r="C36" s="65" t="s">
        <v>78</v>
      </c>
      <c r="D36" s="65" t="s">
        <v>14</v>
      </c>
      <c r="E36" s="49" t="str">
        <f t="shared" si="1"/>
        <v/>
      </c>
    </row>
    <row r="37" spans="2:8" ht="17.399999999999999" hidden="1">
      <c r="B37" s="66"/>
      <c r="C37" s="66"/>
      <c r="D37" s="66"/>
      <c r="E37" s="49" t="str">
        <f t="shared" si="1"/>
        <v/>
      </c>
    </row>
    <row r="38" spans="2:8" ht="17.399999999999999" hidden="1">
      <c r="B38" s="66"/>
      <c r="C38" s="66"/>
      <c r="D38" s="66"/>
      <c r="E38" s="49" t="str">
        <f t="shared" si="1"/>
        <v/>
      </c>
    </row>
    <row r="39" spans="2:8" ht="17.399999999999999" hidden="1">
      <c r="B39" s="66"/>
      <c r="C39" s="66"/>
      <c r="D39" s="66"/>
      <c r="E39" s="49" t="str">
        <f t="shared" si="1"/>
        <v/>
      </c>
    </row>
    <row r="40" spans="2:8" ht="17.399999999999999" hidden="1">
      <c r="B40" s="66"/>
      <c r="C40" s="66"/>
      <c r="D40" s="66"/>
      <c r="E40" s="49" t="str">
        <f t="shared" si="1"/>
        <v/>
      </c>
    </row>
    <row r="41" spans="2:8" ht="17.399999999999999" hidden="1">
      <c r="B41" s="67" t="str">
        <f>B19</f>
        <v>Lâm Phạm Duy</v>
      </c>
      <c r="C41" s="67" t="str">
        <f>C19</f>
        <v>Lê Ngọc Thanh</v>
      </c>
      <c r="D41" s="68" t="s">
        <v>15</v>
      </c>
      <c r="E41" s="49" t="str">
        <f t="shared" si="1"/>
        <v/>
      </c>
    </row>
  </sheetData>
  <autoFilter ref="E1:E41">
    <filterColumn colId="0">
      <customFilters>
        <customFilter operator="notEqual" val=" "/>
      </customFilters>
    </filterColumn>
  </autoFilter>
  <dataValidations disablePrompts="1" count="1">
    <dataValidation type="list" allowBlank="1" showInputMessage="1" showErrorMessage="1" sqref="D19 D41">
      <formula1>"Phạm Quang Vĩnh Phú, Nguyễn Trọng Nghĩa"</formula1>
    </dataValidation>
  </dataValidations>
  <pageMargins left="0.62" right="0.41" top="0.46" bottom="0.42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>
      <selection activeCell="D30" sqref="D30"/>
    </sheetView>
  </sheetViews>
  <sheetFormatPr defaultRowHeight="14.4"/>
  <cols>
    <col min="2" max="2" width="15.77734375" customWidth="1"/>
    <col min="3" max="3" width="23.44140625" customWidth="1"/>
    <col min="4" max="4" width="25.109375" style="101" customWidth="1"/>
    <col min="5" max="5" width="21.109375" style="101" customWidth="1"/>
    <col min="6" max="6" width="21.109375" customWidth="1"/>
    <col min="7" max="7" width="22.77734375" customWidth="1"/>
    <col min="8" max="8" width="21.44140625" customWidth="1"/>
    <col min="9" max="9" width="22.77734375" style="101" customWidth="1"/>
    <col min="10" max="10" width="21.44140625" style="101" customWidth="1"/>
  </cols>
  <sheetData>
    <row r="1" spans="1:10" s="103" customFormat="1" ht="16.8" customHeight="1">
      <c r="A1" s="132" t="s">
        <v>191</v>
      </c>
      <c r="B1" s="132" t="s">
        <v>181</v>
      </c>
      <c r="C1" s="132" t="s">
        <v>184</v>
      </c>
      <c r="D1" s="132" t="s">
        <v>183</v>
      </c>
      <c r="E1" s="132" t="s">
        <v>185</v>
      </c>
      <c r="F1" s="132" t="s">
        <v>186</v>
      </c>
      <c r="G1" s="132" t="s">
        <v>187</v>
      </c>
      <c r="H1" s="132" t="s">
        <v>188</v>
      </c>
      <c r="I1" s="132" t="s">
        <v>189</v>
      </c>
      <c r="J1" s="132" t="s">
        <v>190</v>
      </c>
    </row>
    <row r="2" spans="1:10" s="103" customFormat="1" ht="16.8" customHeight="1">
      <c r="A2" s="136">
        <f>COLUMN()</f>
        <v>1</v>
      </c>
      <c r="B2" s="136">
        <f>COLUMN()</f>
        <v>2</v>
      </c>
      <c r="C2" s="136">
        <f>COLUMN()</f>
        <v>3</v>
      </c>
      <c r="D2" s="136">
        <f>COLUMN()</f>
        <v>4</v>
      </c>
      <c r="E2" s="136">
        <f>COLUMN()</f>
        <v>5</v>
      </c>
      <c r="F2" s="136">
        <f>COLUMN()</f>
        <v>6</v>
      </c>
      <c r="G2" s="136">
        <f>COLUMN()</f>
        <v>7</v>
      </c>
      <c r="H2" s="136">
        <f>COLUMN()</f>
        <v>8</v>
      </c>
      <c r="I2" s="136">
        <f>COLUMN()</f>
        <v>9</v>
      </c>
      <c r="J2" s="136">
        <f>COLUMN()</f>
        <v>10</v>
      </c>
    </row>
    <row r="3" spans="1:10" ht="17.399999999999999" customHeight="1"/>
    <row r="20" spans="3:3">
      <c r="C20" s="47" t="s">
        <v>162</v>
      </c>
    </row>
    <row r="21" spans="3:3">
      <c r="C21" s="47" t="s">
        <v>164</v>
      </c>
    </row>
    <row r="22" spans="3:3">
      <c r="C22" s="47" t="s">
        <v>158</v>
      </c>
    </row>
    <row r="23" spans="3:3">
      <c r="C23" s="47" t="s">
        <v>160</v>
      </c>
    </row>
    <row r="24" spans="3:3">
      <c r="C24" s="47" t="s">
        <v>166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P33"/>
  <sheetViews>
    <sheetView zoomScaleNormal="100" workbookViewId="0">
      <selection activeCell="N11" sqref="N11"/>
    </sheetView>
  </sheetViews>
  <sheetFormatPr defaultRowHeight="14.4"/>
  <cols>
    <col min="12" max="12" width="6.88671875" customWidth="1"/>
    <col min="13" max="13" width="7.21875" customWidth="1"/>
    <col min="15" max="15" width="46.5546875" customWidth="1"/>
  </cols>
  <sheetData>
    <row r="1" spans="4:15" s="91" customFormat="1" ht="59.4" customHeight="1"/>
    <row r="2" spans="4:15" ht="12.6" customHeight="1"/>
    <row r="3" spans="4:15" ht="31.2" customHeight="1">
      <c r="D3" s="157" t="s">
        <v>146</v>
      </c>
      <c r="E3" s="157"/>
      <c r="F3" s="157"/>
      <c r="G3" s="157"/>
      <c r="H3" s="157"/>
      <c r="I3" s="157"/>
      <c r="J3" s="157"/>
      <c r="K3" s="157"/>
      <c r="L3" s="157"/>
      <c r="M3" s="157"/>
    </row>
    <row r="4" spans="4:15" ht="40.799999999999997" customHeight="1">
      <c r="D4" s="158" t="str">
        <f>REPT(" ",10)&amp;"Căn cứ tờ trình xin xe đi công tác ngày ……/……/2019 đã được Giám đốc Điện lực phê duyệt, Phòng Tổng Hợp điều động xe như sau:"</f>
        <v xml:space="preserve">          Căn cứ tờ trình xin xe đi công tác ngày ……/……/2019 đã được Giám đốc Điện lực phê duyệt, Phòng Tổng Hợp điều động xe như sau:</v>
      </c>
      <c r="E4" s="158"/>
      <c r="F4" s="158"/>
      <c r="G4" s="158"/>
      <c r="H4" s="158"/>
      <c r="I4" s="158"/>
      <c r="J4" s="158"/>
      <c r="K4" s="158"/>
      <c r="L4" s="158"/>
      <c r="M4" s="158"/>
    </row>
    <row r="5" spans="4:15" ht="22.2" customHeight="1">
      <c r="D5" s="159" t="str">
        <f>tab&amp;"Nội dung công tác: …………………...………………………………………..………..."</f>
        <v xml:space="preserve">          Nội dung công tác: …………………...………………………………………..………...</v>
      </c>
      <c r="E5" s="159"/>
      <c r="F5" s="159"/>
      <c r="G5" s="159"/>
      <c r="H5" s="159"/>
      <c r="I5" s="159"/>
      <c r="J5" s="159"/>
      <c r="K5" s="159"/>
      <c r="L5" s="159"/>
      <c r="M5" s="159"/>
    </row>
    <row r="6" spans="4:15" ht="22.2" customHeight="1">
      <c r="D6" s="18" t="str">
        <f>tab&amp;"Số CBCNV đi công tác: …………người,  Điện thoại liên hệ:………………...……………"</f>
        <v xml:space="preserve">          Số CBCNV đi công tác: …………người,  Điện thoại liên hệ:………………...……………</v>
      </c>
      <c r="E6" s="91"/>
      <c r="F6" s="91"/>
      <c r="N6" t="s">
        <v>83</v>
      </c>
    </row>
    <row r="7" spans="4:15" ht="22.2" customHeight="1">
      <c r="D7" s="18" t="str">
        <f>tab&amp;"Danh sách người đi công tác:"</f>
        <v xml:space="preserve">          Danh sách người đi công tác:</v>
      </c>
      <c r="E7" s="91"/>
      <c r="F7" s="91"/>
    </row>
    <row r="8" spans="4:15" ht="22.2" customHeight="1">
      <c r="D8" s="18" t="str">
        <f>tab&amp;"Nơi đến: "&amp;O8&amp;"."</f>
        <v xml:space="preserve">          Nơi đến: Công ty TNHH một thành viên Điện lực Đồng Nai.</v>
      </c>
      <c r="E8" s="91"/>
      <c r="F8" s="91"/>
      <c r="N8" t="s">
        <v>83</v>
      </c>
      <c r="O8" s="105" t="s">
        <v>154</v>
      </c>
    </row>
    <row r="9" spans="4:15" s="91" customFormat="1" ht="22.2" customHeight="1">
      <c r="D9" s="18" t="str">
        <f>tab&amp;"Thời gian đi: …… giờ ….. ngày …… tháng …… năm 2019."</f>
        <v xml:space="preserve">          Thời gian đi: …… giờ ….. ngày …… tháng …… năm 2019.</v>
      </c>
      <c r="O9" s="102" t="s">
        <v>154</v>
      </c>
    </row>
    <row r="10" spans="4:15" s="91" customFormat="1" ht="22.2" customHeight="1">
      <c r="D10" s="18" t="str">
        <f>tab&amp;"Thời gian về: …….giờ ….. ngày …… tháng …… năm 2019."</f>
        <v xml:space="preserve">          Thời gian về: …….giờ ….. ngày …… tháng …… năm 2019.</v>
      </c>
      <c r="O10" s="105" t="s">
        <v>156</v>
      </c>
    </row>
    <row r="11" spans="4:15" ht="22.2" customHeight="1">
      <c r="D11" s="18" t="str">
        <f>tab&amp;"Họ và tên lái xe: "&amp;F32&amp;"; Loại xe: Ô tô BKS: "&amp;N11</f>
        <v xml:space="preserve">          Họ và tên lái xe: Lâm Phạm Duy; Loại xe: Ô tô BKS: 60L - 2719</v>
      </c>
      <c r="E11" s="91"/>
      <c r="F11" s="91"/>
      <c r="N11" t="s">
        <v>199</v>
      </c>
      <c r="O11" s="105" t="s">
        <v>157</v>
      </c>
    </row>
    <row r="12" spans="4:15" ht="18.600000000000001" customHeight="1">
      <c r="D12" s="91"/>
      <c r="F12" s="97" t="s">
        <v>148</v>
      </c>
      <c r="K12" s="97" t="s">
        <v>147</v>
      </c>
      <c r="O12" s="105" t="s">
        <v>155</v>
      </c>
    </row>
    <row r="13" spans="4:15" ht="16.8" customHeight="1">
      <c r="D13" s="91"/>
      <c r="F13" s="90" t="s">
        <v>149</v>
      </c>
      <c r="K13" s="97" t="s">
        <v>182</v>
      </c>
      <c r="O13" s="105" t="s">
        <v>64</v>
      </c>
    </row>
    <row r="14" spans="4:15" ht="16.8">
      <c r="D14" s="94"/>
      <c r="F14" s="91"/>
      <c r="O14" s="102" t="s">
        <v>198</v>
      </c>
    </row>
    <row r="15" spans="4:15" ht="16.8">
      <c r="D15" s="94"/>
      <c r="F15" s="91"/>
      <c r="O15" s="102"/>
    </row>
    <row r="16" spans="4:15" ht="16.8">
      <c r="D16" s="94"/>
      <c r="F16" s="91"/>
      <c r="O16" s="102"/>
    </row>
    <row r="17" spans="4:16" ht="16.8">
      <c r="D17" s="94"/>
      <c r="F17" s="91"/>
      <c r="O17" s="102"/>
    </row>
    <row r="18" spans="4:16" ht="16.8">
      <c r="D18" s="94"/>
      <c r="F18" s="91"/>
      <c r="O18" s="102"/>
    </row>
    <row r="19" spans="4:16" s="92" customFormat="1" ht="17.399999999999999">
      <c r="D19" s="90"/>
      <c r="F19" s="92" t="s">
        <v>150</v>
      </c>
      <c r="K19" s="92" t="s">
        <v>80</v>
      </c>
      <c r="O19" s="104"/>
      <c r="P19"/>
    </row>
    <row r="20" spans="4:16" ht="16.8">
      <c r="D20" s="94"/>
      <c r="E20" s="91"/>
      <c r="F20" s="91"/>
    </row>
    <row r="21" spans="4:16" ht="18">
      <c r="D21" s="98"/>
      <c r="E21" s="99"/>
      <c r="F21" s="99"/>
      <c r="G21" s="100" t="s">
        <v>153</v>
      </c>
      <c r="H21" s="99"/>
      <c r="I21" s="99"/>
      <c r="J21" s="99"/>
      <c r="K21" s="99"/>
      <c r="L21" s="99"/>
      <c r="M21" s="99"/>
    </row>
    <row r="22" spans="4:16" ht="18">
      <c r="D22" s="95" t="str">
        <f>tab&amp;"Số km đã đi: ………….. (km bắt đầu: ……….., km kết thúc: …………)"</f>
        <v xml:space="preserve">          Số km đã đi: ………….. (km bắt đầu: ……….., km kết thúc: …………)</v>
      </c>
      <c r="E22" s="91"/>
      <c r="F22" s="91"/>
    </row>
    <row r="23" spans="4:16" ht="18">
      <c r="D23" s="95" t="str">
        <f>tab&amp;"Số giờ cẩu hoạt động: …………................"</f>
        <v xml:space="preserve">          Số giờ cẩu hoạt động: …………................</v>
      </c>
      <c r="E23" s="91"/>
      <c r="F23" s="91"/>
    </row>
    <row r="24" spans="4:16" ht="18">
      <c r="D24" s="95" t="str">
        <f>tab&amp;"Nhóm công tác xác nhận số giờ cẩu: ………………………"</f>
        <v xml:space="preserve">          Nhóm công tác xác nhận số giờ cẩu: ………………………</v>
      </c>
      <c r="E24" s="91"/>
      <c r="F24" s="91"/>
    </row>
    <row r="25" spans="4:16" ht="18" customHeight="1">
      <c r="D25" s="96"/>
      <c r="E25" s="91"/>
      <c r="F25" s="91"/>
    </row>
    <row r="26" spans="4:16" s="90" customFormat="1" ht="17.399999999999999">
      <c r="F26" s="90" t="s">
        <v>151</v>
      </c>
      <c r="K26" s="90" t="s">
        <v>152</v>
      </c>
    </row>
    <row r="27" spans="4:16" s="90" customFormat="1" ht="17.399999999999999">
      <c r="K27" s="97" t="s">
        <v>182</v>
      </c>
    </row>
    <row r="28" spans="4:16" s="90" customFormat="1" ht="17.399999999999999"/>
    <row r="29" spans="4:16" s="90" customFormat="1" ht="17.399999999999999"/>
    <row r="30" spans="4:16" s="90" customFormat="1" ht="17.399999999999999"/>
    <row r="31" spans="4:16" s="90" customFormat="1" ht="17.399999999999999"/>
    <row r="32" spans="4:16" s="90" customFormat="1" ht="17.399999999999999">
      <c r="F32" s="90" t="s">
        <v>62</v>
      </c>
      <c r="K32" s="90" t="s">
        <v>80</v>
      </c>
    </row>
    <row r="33" s="90" customFormat="1" ht="17.399999999999999"/>
  </sheetData>
  <mergeCells count="3">
    <mergeCell ref="D3:M3"/>
    <mergeCell ref="D4:M4"/>
    <mergeCell ref="D5:M5"/>
  </mergeCells>
  <dataValidations count="2">
    <dataValidation type="list" allowBlank="1" sqref="O8">
      <formula1>$O$8:$O$19</formula1>
    </dataValidation>
    <dataValidation type="list" allowBlank="1" showInputMessage="1" showErrorMessage="1" sqref="N11">
      <formula1>"60A - 607.73, 60L - 2719, 60C - 426.97"</formula1>
    </dataValidation>
  </dataValidations>
  <pageMargins left="0.84" right="0.54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0"/>
  <sheetViews>
    <sheetView topLeftCell="B1" workbookViewId="0">
      <selection activeCell="B12" sqref="B12"/>
    </sheetView>
  </sheetViews>
  <sheetFormatPr defaultColWidth="14.44140625" defaultRowHeight="15" customHeight="1"/>
  <cols>
    <col min="1" max="1" width="10.33203125" style="113" hidden="1" customWidth="1"/>
    <col min="2" max="2" width="88.33203125" style="113" customWidth="1"/>
    <col min="3" max="3" width="14.77734375" style="113" customWidth="1"/>
    <col min="4" max="4" width="21.5546875" style="113" customWidth="1"/>
    <col min="5" max="5" width="22.6640625" style="113" customWidth="1"/>
    <col min="6" max="6" width="19.33203125" style="113" customWidth="1"/>
    <col min="7" max="7" width="50.33203125" style="113" customWidth="1"/>
    <col min="8" max="8" width="29.6640625" style="113" customWidth="1"/>
    <col min="9" max="9" width="26" style="113" customWidth="1"/>
    <col min="10" max="10" width="11.44140625" style="113" hidden="1" customWidth="1"/>
    <col min="11" max="11" width="9.109375" style="113" customWidth="1"/>
    <col min="12" max="12" width="14.33203125" style="113" customWidth="1"/>
    <col min="13" max="14" width="17.44140625" style="113" customWidth="1"/>
    <col min="15" max="15" width="22.44140625" style="113" customWidth="1"/>
    <col min="16" max="16" width="101.109375" style="113" customWidth="1"/>
    <col min="17" max="16384" width="14.44140625" style="113"/>
  </cols>
  <sheetData>
    <row r="1" spans="1:16" ht="16.5" customHeight="1">
      <c r="A1" s="106"/>
      <c r="B1" s="107"/>
      <c r="C1" s="108"/>
      <c r="D1" s="109" t="s">
        <v>65</v>
      </c>
      <c r="E1" s="133">
        <f ca="1">IF(F1&lt;&gt;0,F1,TODAY())</f>
        <v>43766</v>
      </c>
      <c r="F1" s="134"/>
      <c r="G1" s="111"/>
      <c r="H1" s="107"/>
      <c r="I1" s="107"/>
      <c r="J1" s="107"/>
      <c r="K1" s="112"/>
      <c r="L1" s="108"/>
      <c r="M1" s="106"/>
      <c r="N1" s="106"/>
      <c r="O1" s="106"/>
      <c r="P1" s="106"/>
    </row>
    <row r="2" spans="1:16" ht="16.5" customHeight="1">
      <c r="A2" s="106"/>
      <c r="B2" s="107"/>
      <c r="C2" s="108"/>
      <c r="D2" s="109">
        <v>9</v>
      </c>
      <c r="E2" s="108"/>
      <c r="F2" s="111"/>
      <c r="G2" s="111"/>
      <c r="H2" s="107" t="s">
        <v>158</v>
      </c>
      <c r="I2" s="107" t="s">
        <v>159</v>
      </c>
      <c r="J2" s="107"/>
      <c r="K2" s="112"/>
      <c r="L2" s="108"/>
      <c r="M2" s="106"/>
      <c r="N2" s="106"/>
      <c r="O2" s="106"/>
      <c r="P2" s="106"/>
    </row>
    <row r="3" spans="1:16" ht="16.5" customHeight="1">
      <c r="A3" s="106"/>
      <c r="B3" s="107"/>
      <c r="C3" s="108"/>
      <c r="D3" s="108" t="str">
        <f>$E$26</f>
        <v>Lê Ngọc Thanh</v>
      </c>
      <c r="E3" s="108"/>
      <c r="F3" s="111"/>
      <c r="G3" s="111"/>
      <c r="H3" s="106" t="s">
        <v>160</v>
      </c>
      <c r="I3" s="107" t="s">
        <v>161</v>
      </c>
      <c r="J3" s="106"/>
      <c r="K3" s="112"/>
      <c r="L3" s="108"/>
      <c r="M3" s="106"/>
      <c r="N3" s="106"/>
      <c r="O3" s="106"/>
      <c r="P3" s="106"/>
    </row>
    <row r="4" spans="1:16" ht="16.5" customHeight="1">
      <c r="A4" s="106"/>
      <c r="B4" s="107"/>
      <c r="C4" s="114"/>
      <c r="D4" s="108" t="s">
        <v>148</v>
      </c>
      <c r="E4" s="108"/>
      <c r="F4" s="111"/>
      <c r="G4" s="111"/>
      <c r="H4" s="115" t="s">
        <v>162</v>
      </c>
      <c r="I4" s="107" t="s">
        <v>163</v>
      </c>
      <c r="J4" s="115"/>
      <c r="K4" s="112"/>
      <c r="L4" s="108"/>
      <c r="M4" s="106"/>
      <c r="N4" s="106"/>
      <c r="O4" s="106"/>
      <c r="P4" s="106"/>
    </row>
    <row r="5" spans="1:16" ht="16.5" customHeight="1">
      <c r="A5" s="106"/>
      <c r="B5" s="107"/>
      <c r="C5" s="108"/>
      <c r="D5" s="108"/>
      <c r="E5" s="110"/>
      <c r="F5" s="111"/>
      <c r="G5" s="111"/>
      <c r="H5" s="106" t="s">
        <v>164</v>
      </c>
      <c r="I5" s="107" t="s">
        <v>148</v>
      </c>
      <c r="J5" s="106"/>
      <c r="K5" s="112"/>
      <c r="L5" s="108"/>
      <c r="M5" s="108"/>
      <c r="N5" s="108"/>
      <c r="O5" s="111"/>
      <c r="P5" s="111"/>
    </row>
    <row r="6" spans="1:16" ht="18" customHeight="1">
      <c r="A6" s="106"/>
      <c r="B6" s="116" t="s">
        <v>165</v>
      </c>
      <c r="C6" s="117"/>
      <c r="D6" s="118"/>
      <c r="E6" s="108"/>
      <c r="F6" s="111"/>
      <c r="G6" s="111"/>
      <c r="H6" s="119" t="s">
        <v>166</v>
      </c>
      <c r="I6" s="107" t="s">
        <v>167</v>
      </c>
      <c r="J6" s="119"/>
      <c r="K6" s="112"/>
      <c r="L6" s="108"/>
      <c r="M6" s="106"/>
      <c r="N6" s="106"/>
      <c r="O6" s="106"/>
      <c r="P6" s="106"/>
    </row>
    <row r="7" spans="1:16" ht="18" customHeight="1">
      <c r="A7" s="106"/>
      <c r="B7" s="116" t="s">
        <v>168</v>
      </c>
      <c r="C7" s="108"/>
      <c r="D7" s="108"/>
      <c r="E7" s="110"/>
      <c r="F7" s="111"/>
      <c r="G7" s="111"/>
      <c r="H7" s="119" t="s">
        <v>169</v>
      </c>
      <c r="I7" s="119"/>
      <c r="J7" s="119"/>
      <c r="K7" s="112"/>
      <c r="L7" s="108"/>
      <c r="M7" s="106"/>
      <c r="N7" s="106"/>
      <c r="O7" s="106"/>
      <c r="P7" s="106"/>
    </row>
    <row r="8" spans="1:16" ht="16.5" customHeight="1">
      <c r="A8" s="106"/>
      <c r="B8" s="107"/>
      <c r="C8" s="117"/>
      <c r="D8" s="118"/>
      <c r="E8" s="108"/>
      <c r="F8" s="111"/>
      <c r="G8" s="111"/>
      <c r="H8" s="106"/>
      <c r="I8" s="106"/>
      <c r="J8" s="106"/>
      <c r="K8" s="112"/>
      <c r="L8" s="108"/>
      <c r="M8" s="106"/>
      <c r="N8" s="106"/>
      <c r="O8" s="106"/>
      <c r="P8" s="106"/>
    </row>
    <row r="9" spans="1:16" ht="25.5" customHeight="1">
      <c r="A9" s="120"/>
      <c r="B9" s="108" t="s">
        <v>170</v>
      </c>
      <c r="C9" s="108"/>
      <c r="D9" s="110"/>
      <c r="E9" s="110"/>
      <c r="F9" s="121"/>
      <c r="G9" s="108" t="s">
        <v>171</v>
      </c>
      <c r="H9" s="120"/>
      <c r="I9" s="120"/>
      <c r="J9" s="120"/>
      <c r="K9" s="112"/>
      <c r="L9" s="108"/>
      <c r="M9" s="120"/>
      <c r="N9" s="120"/>
      <c r="O9" s="120"/>
      <c r="P9" s="120"/>
    </row>
    <row r="10" spans="1:16" ht="38.4" customHeight="1">
      <c r="A10" s="106"/>
      <c r="B10" s="122" t="str">
        <f ca="1">IF(LEN(G10)&gt;9,G10,"         Căn cứ vào lịch công tác: từ ngày "&amp;TEXT(E1-WEEKDAY(E1,3),"dd/MM/yyyy")&amp;" đến ngày "&amp;TEXT(E1+6-WEEKDAY(E1,3),"dd/MM/yyyy")&amp;".")</f>
        <v xml:space="preserve">         Căn cứ vào lịch công tác: từ ngày 28/10/2019 đến ngày 03/11/2019.</v>
      </c>
      <c r="C10" s="108"/>
      <c r="D10" s="108"/>
      <c r="E10" s="108"/>
      <c r="F10" s="111"/>
      <c r="G10" s="123" t="s">
        <v>172</v>
      </c>
      <c r="H10" s="120"/>
      <c r="I10" s="120"/>
      <c r="J10" s="120"/>
      <c r="K10" s="124"/>
      <c r="L10" s="108"/>
      <c r="M10" s="106"/>
      <c r="N10" s="106"/>
      <c r="O10" s="106"/>
      <c r="P10" s="106"/>
    </row>
    <row r="11" spans="1:16" ht="39" customHeight="1">
      <c r="A11" s="106"/>
      <c r="B11" s="122" t="str">
        <f>"         "&amp;F11&amp;" kính đề nghị Giám đốc chấp thuận các đề xuất xin xe phục vụ công tác như sau:"</f>
        <v xml:space="preserve">         Phòng Tổng Hợp kính đề nghị Giám đốc chấp thuận các đề xuất xin xe phục vụ công tác như sau:</v>
      </c>
      <c r="C11" s="108"/>
      <c r="D11" s="108" t="s">
        <v>176</v>
      </c>
      <c r="E11" s="108">
        <v>0</v>
      </c>
      <c r="F11" s="135" t="s">
        <v>164</v>
      </c>
      <c r="G11" s="111"/>
      <c r="H11" s="120"/>
      <c r="I11" s="120"/>
      <c r="J11" s="120"/>
      <c r="K11" s="112"/>
      <c r="L11" s="108"/>
      <c r="M11" s="106"/>
      <c r="N11" s="106"/>
      <c r="O11" s="106"/>
      <c r="P11" s="106"/>
    </row>
    <row r="12" spans="1:16" ht="22.2" customHeight="1">
      <c r="A12" s="111"/>
      <c r="B12" s="122" t="s">
        <v>177</v>
      </c>
      <c r="C12" s="125"/>
      <c r="D12" s="108">
        <v>16</v>
      </c>
      <c r="E12" s="108">
        <v>0</v>
      </c>
      <c r="F12" s="120"/>
      <c r="G12" s="120" t="s">
        <v>172</v>
      </c>
      <c r="H12" s="120"/>
      <c r="I12" s="120"/>
      <c r="J12" s="120"/>
      <c r="K12" s="124"/>
      <c r="L12" s="108"/>
      <c r="M12" s="108"/>
      <c r="N12" s="108"/>
      <c r="O12" s="111"/>
      <c r="P12" s="111"/>
    </row>
    <row r="13" spans="1:16" ht="16.5" customHeight="1">
      <c r="A13" s="106"/>
      <c r="B13" s="126" t="str">
        <f>"         Nguồn vốn của công trình hoặc công việc: "</f>
        <v xml:space="preserve">         Nguồn vốn của công trình hoặc công việc: </v>
      </c>
      <c r="C13" s="108"/>
      <c r="D13" s="106"/>
      <c r="E13" s="106"/>
      <c r="F13" s="106"/>
      <c r="G13" s="106"/>
      <c r="H13" s="106"/>
      <c r="I13" s="106"/>
      <c r="J13" s="106"/>
      <c r="K13" s="112"/>
      <c r="L13" s="108"/>
      <c r="M13" s="108"/>
      <c r="N13" s="108"/>
      <c r="O13" s="111"/>
      <c r="P13" s="111"/>
    </row>
    <row r="14" spans="1:16" ht="19.5" customHeight="1">
      <c r="A14" s="106"/>
      <c r="B14" s="126" t="s">
        <v>178</v>
      </c>
      <c r="C14" s="120"/>
      <c r="D14" s="106"/>
      <c r="E14" s="106"/>
      <c r="F14" s="106"/>
      <c r="G14" s="106"/>
      <c r="H14" s="106"/>
      <c r="I14" s="106"/>
      <c r="J14" s="106"/>
      <c r="K14" s="112"/>
      <c r="L14" s="108"/>
      <c r="M14" s="108"/>
      <c r="N14" s="108"/>
      <c r="O14" s="111"/>
      <c r="P14" s="111"/>
    </row>
    <row r="15" spans="1:16" ht="22.2" customHeight="1">
      <c r="A15" s="106"/>
      <c r="B15" s="126" t="s">
        <v>173</v>
      </c>
      <c r="C15" s="108"/>
      <c r="D15" s="106"/>
      <c r="E15" s="106"/>
      <c r="F15" s="106"/>
      <c r="G15" s="106"/>
      <c r="H15" s="106"/>
      <c r="I15" s="106"/>
      <c r="J15" s="106"/>
      <c r="K15" s="112"/>
      <c r="L15" s="108"/>
      <c r="M15" s="108"/>
      <c r="N15" s="108"/>
      <c r="O15" s="111"/>
      <c r="P15" s="111"/>
    </row>
    <row r="16" spans="1:16" ht="22.2" customHeight="1">
      <c r="A16" s="106"/>
      <c r="B16" s="122" t="str">
        <f>"         - Từ "&amp;D16&amp;" ngày "&amp;D9&amp;" đến "&amp;E16&amp;" ngày "&amp;E9&amp;"."</f>
        <v xml:space="preserve">         - Từ 9h00 ngày  đến 16h0 ngày .</v>
      </c>
      <c r="C16" s="110"/>
      <c r="D16" s="127" t="str">
        <f>D11&amp;"h"&amp;TEXT(E11,"00")</f>
        <v>9h00</v>
      </c>
      <c r="E16" s="127" t="str">
        <f>D12&amp;"h"&amp;E12</f>
        <v>16h0</v>
      </c>
      <c r="F16" s="127"/>
      <c r="G16" s="127"/>
      <c r="H16" s="127"/>
      <c r="I16" s="127"/>
      <c r="J16" s="106"/>
      <c r="K16" s="112"/>
      <c r="L16" s="108"/>
      <c r="M16" s="108"/>
      <c r="N16" s="108"/>
      <c r="O16" s="111"/>
      <c r="P16" s="111"/>
    </row>
    <row r="17" spans="1:16" ht="22.2" customHeight="1">
      <c r="A17" s="106"/>
      <c r="B17" s="126" t="s">
        <v>179</v>
      </c>
      <c r="C17" s="108"/>
      <c r="D17" s="106"/>
      <c r="E17" s="106"/>
      <c r="F17" s="106"/>
      <c r="G17" s="106"/>
      <c r="H17" s="106"/>
      <c r="I17" s="106"/>
      <c r="J17" s="106"/>
      <c r="K17" s="112"/>
      <c r="L17" s="108"/>
      <c r="M17" s="108"/>
      <c r="N17" s="108"/>
      <c r="O17" s="111"/>
      <c r="P17" s="111"/>
    </row>
    <row r="18" spans="1:16" ht="22.2" customHeight="1">
      <c r="A18" s="106"/>
      <c r="B18" s="126" t="s">
        <v>180</v>
      </c>
      <c r="C18" s="108"/>
      <c r="D18" s="106"/>
      <c r="E18" s="106"/>
      <c r="F18" s="106"/>
      <c r="G18" s="106"/>
      <c r="H18" s="106"/>
      <c r="I18" s="106"/>
      <c r="J18" s="106"/>
      <c r="K18" s="112"/>
      <c r="L18" s="108"/>
      <c r="M18" s="108"/>
      <c r="N18" s="108"/>
      <c r="O18" s="111"/>
      <c r="P18" s="111"/>
    </row>
    <row r="19" spans="1:16" ht="22.2" customHeight="1">
      <c r="A19" s="106"/>
      <c r="B19" s="126" t="s">
        <v>174</v>
      </c>
      <c r="C19" s="108"/>
      <c r="D19" s="106"/>
      <c r="E19" s="106"/>
      <c r="F19" s="106"/>
      <c r="G19" s="106"/>
      <c r="H19" s="106"/>
      <c r="I19" s="106"/>
      <c r="J19" s="106"/>
      <c r="K19" s="112"/>
      <c r="L19" s="108"/>
      <c r="M19" s="108"/>
      <c r="N19" s="108"/>
      <c r="O19" s="111"/>
      <c r="P19" s="111"/>
    </row>
    <row r="20" spans="1:16" ht="16.5" customHeight="1">
      <c r="A20" s="106"/>
      <c r="B20" s="107"/>
      <c r="C20" s="108"/>
      <c r="D20" s="128"/>
      <c r="E20" s="129" t="s">
        <v>13</v>
      </c>
      <c r="F20" s="106" t="str">
        <f>VLOOKUP(D4,H:I,2,0)</f>
        <v>PHÒNG TỔNG HỢP</v>
      </c>
      <c r="G20" s="106"/>
      <c r="H20" s="106"/>
      <c r="I20" s="128"/>
      <c r="J20" s="130"/>
      <c r="K20" s="112"/>
      <c r="L20" s="108"/>
      <c r="M20" s="108"/>
      <c r="N20" s="108"/>
      <c r="O20" s="111"/>
      <c r="P20" s="111"/>
    </row>
    <row r="21" spans="1:16" ht="16.5" customHeight="1">
      <c r="A21" s="106"/>
      <c r="B21" s="107"/>
      <c r="C21" s="108"/>
      <c r="D21" s="128"/>
      <c r="E21" s="106"/>
      <c r="F21" s="106"/>
      <c r="G21" s="106"/>
      <c r="H21" s="106"/>
      <c r="I21" s="129"/>
      <c r="J21" s="130"/>
      <c r="K21" s="112"/>
      <c r="L21" s="108"/>
      <c r="M21" s="108"/>
      <c r="N21" s="108"/>
      <c r="O21" s="111"/>
      <c r="P21" s="111"/>
    </row>
    <row r="22" spans="1:16" ht="16.5" customHeight="1">
      <c r="A22" s="106"/>
      <c r="B22" s="107"/>
      <c r="C22" s="108"/>
      <c r="D22" s="106"/>
      <c r="E22" s="106"/>
      <c r="F22" s="106"/>
      <c r="G22" s="106"/>
      <c r="H22" s="106"/>
      <c r="I22" s="131"/>
      <c r="J22" s="106"/>
      <c r="K22" s="112"/>
      <c r="L22" s="108"/>
      <c r="M22" s="108"/>
      <c r="N22" s="108"/>
      <c r="O22" s="111"/>
      <c r="P22" s="111"/>
    </row>
    <row r="23" spans="1:16" ht="16.5" customHeight="1">
      <c r="A23" s="106"/>
      <c r="B23" s="107"/>
      <c r="C23" s="108"/>
      <c r="D23" s="106"/>
      <c r="E23" s="106"/>
      <c r="F23" s="106"/>
      <c r="G23" s="106"/>
      <c r="H23" s="106"/>
      <c r="I23" s="131"/>
      <c r="J23" s="106"/>
      <c r="K23" s="112"/>
      <c r="L23" s="108"/>
      <c r="M23" s="108"/>
      <c r="N23" s="108"/>
      <c r="O23" s="111"/>
      <c r="P23" s="111"/>
    </row>
    <row r="24" spans="1:16" ht="16.5" customHeight="1">
      <c r="A24" s="106"/>
      <c r="B24" s="107"/>
      <c r="C24" s="108"/>
      <c r="D24" s="106"/>
      <c r="E24" s="106"/>
      <c r="F24" s="106"/>
      <c r="G24" s="106"/>
      <c r="H24" s="106"/>
      <c r="I24" s="131"/>
      <c r="J24" s="106"/>
      <c r="K24" s="112"/>
      <c r="L24" s="108"/>
      <c r="M24" s="108"/>
      <c r="N24" s="108"/>
      <c r="O24" s="111"/>
      <c r="P24" s="111"/>
    </row>
    <row r="25" spans="1:16" ht="16.5" customHeight="1">
      <c r="A25" s="106"/>
      <c r="B25" s="107"/>
      <c r="C25" s="108"/>
      <c r="D25" s="106"/>
      <c r="E25" s="106"/>
      <c r="F25" s="106"/>
      <c r="G25" s="106"/>
      <c r="H25" s="106"/>
      <c r="I25" s="129"/>
      <c r="J25" s="106"/>
      <c r="K25" s="112"/>
      <c r="L25" s="108"/>
      <c r="M25" s="108"/>
      <c r="N25" s="108"/>
      <c r="O25" s="111"/>
      <c r="P25" s="111"/>
    </row>
    <row r="26" spans="1:16" ht="16.5" customHeight="1">
      <c r="A26" s="106"/>
      <c r="B26" s="107"/>
      <c r="C26" s="108"/>
      <c r="D26" s="129"/>
      <c r="E26" s="129" t="s">
        <v>80</v>
      </c>
      <c r="F26" s="106"/>
      <c r="G26" s="130"/>
      <c r="H26" s="106"/>
      <c r="I26" s="129"/>
      <c r="J26" s="130"/>
      <c r="K26" s="112"/>
      <c r="L26" s="108"/>
      <c r="M26" s="108"/>
      <c r="N26" s="108"/>
      <c r="O26" s="111"/>
      <c r="P26" s="111"/>
    </row>
    <row r="27" spans="1:16" ht="16.5" customHeight="1">
      <c r="A27" s="106"/>
      <c r="B27" s="107"/>
      <c r="C27" s="108"/>
      <c r="D27" s="106"/>
      <c r="E27" s="108" t="s">
        <v>175</v>
      </c>
      <c r="F27" s="106"/>
      <c r="G27" s="106"/>
      <c r="H27" s="106"/>
      <c r="I27" s="106"/>
      <c r="J27" s="106"/>
      <c r="K27" s="112"/>
      <c r="L27" s="108"/>
      <c r="M27" s="108"/>
      <c r="N27" s="108"/>
      <c r="O27" s="111"/>
      <c r="P27" s="111"/>
    </row>
    <row r="28" spans="1:16" ht="16.5" customHeight="1">
      <c r="A28" s="106"/>
      <c r="B28" s="107"/>
      <c r="C28" s="108"/>
      <c r="D28" s="106"/>
      <c r="E28" s="106"/>
      <c r="F28" s="106"/>
      <c r="G28" s="106"/>
      <c r="H28" s="106"/>
      <c r="I28" s="106"/>
      <c r="J28" s="106"/>
      <c r="K28" s="112"/>
      <c r="L28" s="108"/>
      <c r="M28" s="108"/>
      <c r="N28" s="108"/>
      <c r="O28" s="111"/>
      <c r="P28" s="111"/>
    </row>
    <row r="29" spans="1:16" ht="16.5" customHeight="1">
      <c r="A29" s="106"/>
      <c r="B29" s="107"/>
      <c r="C29" s="108"/>
      <c r="D29" s="106"/>
      <c r="E29" s="106"/>
      <c r="F29" s="106"/>
      <c r="G29" s="106"/>
      <c r="H29" s="106"/>
      <c r="I29" s="106"/>
      <c r="J29" s="106"/>
      <c r="K29" s="112"/>
      <c r="L29" s="108"/>
      <c r="M29" s="108"/>
      <c r="N29" s="108"/>
      <c r="O29" s="111"/>
      <c r="P29" s="111"/>
    </row>
    <row r="30" spans="1:16" ht="16.5" customHeight="1">
      <c r="A30" s="106"/>
      <c r="B30" s="107"/>
      <c r="C30" s="108"/>
      <c r="D30" s="106"/>
      <c r="E30" s="106"/>
      <c r="F30" s="106"/>
      <c r="G30" s="106"/>
      <c r="H30" s="106"/>
      <c r="I30" s="106"/>
      <c r="J30" s="106"/>
      <c r="K30" s="112"/>
      <c r="L30" s="108"/>
      <c r="M30" s="108"/>
      <c r="N30" s="108"/>
      <c r="O30" s="111"/>
      <c r="P30" s="111"/>
    </row>
    <row r="31" spans="1:16" ht="16.5" customHeight="1">
      <c r="A31" s="106"/>
      <c r="B31" s="107"/>
      <c r="C31" s="108"/>
      <c r="D31" s="106"/>
      <c r="E31" s="106"/>
      <c r="F31" s="106"/>
      <c r="G31" s="106"/>
      <c r="H31" s="106"/>
      <c r="I31" s="106"/>
      <c r="J31" s="106"/>
      <c r="K31" s="112"/>
      <c r="L31" s="108"/>
      <c r="M31" s="108"/>
      <c r="N31" s="108"/>
      <c r="O31" s="111"/>
      <c r="P31" s="111"/>
    </row>
    <row r="32" spans="1:16" ht="16.5" customHeight="1">
      <c r="A32" s="106"/>
      <c r="B32" s="107"/>
      <c r="C32" s="108"/>
      <c r="D32" s="106"/>
      <c r="E32" s="106"/>
      <c r="F32" s="106"/>
      <c r="G32" s="106"/>
      <c r="H32" s="106"/>
      <c r="I32" s="106"/>
      <c r="J32" s="106"/>
      <c r="K32" s="112"/>
      <c r="L32" s="108"/>
      <c r="M32" s="108"/>
      <c r="N32" s="108"/>
      <c r="O32" s="111"/>
      <c r="P32" s="111"/>
    </row>
    <row r="33" spans="1:16" ht="16.5" customHeight="1">
      <c r="A33" s="106"/>
      <c r="B33" s="107"/>
      <c r="C33" s="108"/>
      <c r="D33" s="106"/>
      <c r="E33" s="106"/>
      <c r="F33" s="106"/>
      <c r="G33" s="106"/>
      <c r="H33" s="106"/>
      <c r="I33" s="106"/>
      <c r="J33" s="106"/>
      <c r="K33" s="112"/>
      <c r="L33" s="108"/>
      <c r="M33" s="108"/>
      <c r="N33" s="108"/>
      <c r="O33" s="111"/>
      <c r="P33" s="111"/>
    </row>
    <row r="34" spans="1:16" ht="16.5" customHeight="1">
      <c r="A34" s="106"/>
      <c r="B34" s="107"/>
      <c r="C34" s="108"/>
      <c r="D34" s="106"/>
      <c r="E34" s="106"/>
      <c r="F34" s="106"/>
      <c r="G34" s="106"/>
      <c r="H34" s="106"/>
      <c r="I34" s="106"/>
      <c r="J34" s="106"/>
      <c r="K34" s="112"/>
      <c r="L34" s="108"/>
      <c r="M34" s="108"/>
      <c r="N34" s="108"/>
      <c r="O34" s="111"/>
      <c r="P34" s="111"/>
    </row>
    <row r="35" spans="1:16" ht="16.5" customHeight="1">
      <c r="A35" s="106"/>
      <c r="B35" s="107"/>
      <c r="C35" s="108"/>
      <c r="D35" s="106"/>
      <c r="E35" s="106"/>
      <c r="F35" s="106"/>
      <c r="G35" s="106"/>
      <c r="H35" s="106"/>
      <c r="I35" s="106"/>
      <c r="J35" s="106"/>
      <c r="K35" s="112"/>
      <c r="L35" s="108"/>
      <c r="M35" s="108"/>
      <c r="N35" s="108"/>
      <c r="O35" s="111"/>
      <c r="P35" s="111"/>
    </row>
    <row r="36" spans="1:16" ht="16.5" customHeight="1">
      <c r="A36" s="106"/>
      <c r="B36" s="107"/>
      <c r="C36" s="108"/>
      <c r="D36" s="106"/>
      <c r="E36" s="106"/>
      <c r="F36" s="106"/>
      <c r="G36" s="106"/>
      <c r="H36" s="106"/>
      <c r="I36" s="106"/>
      <c r="J36" s="106"/>
      <c r="K36" s="112"/>
      <c r="L36" s="108"/>
      <c r="M36" s="108"/>
      <c r="N36" s="108"/>
      <c r="O36" s="111"/>
      <c r="P36" s="111"/>
    </row>
    <row r="37" spans="1:16" ht="16.5" customHeight="1">
      <c r="A37" s="106"/>
      <c r="B37" s="107"/>
      <c r="C37" s="108"/>
      <c r="D37" s="106"/>
      <c r="E37" s="106"/>
      <c r="F37" s="106"/>
      <c r="G37" s="106"/>
      <c r="H37" s="106"/>
      <c r="I37" s="106"/>
      <c r="J37" s="106"/>
      <c r="K37" s="112"/>
      <c r="L37" s="108"/>
      <c r="M37" s="108"/>
      <c r="N37" s="108"/>
      <c r="O37" s="111"/>
      <c r="P37" s="111"/>
    </row>
    <row r="38" spans="1:16" ht="16.5" customHeight="1">
      <c r="A38" s="106"/>
      <c r="B38" s="107"/>
      <c r="C38" s="108"/>
      <c r="D38" s="106"/>
      <c r="E38" s="106"/>
      <c r="F38" s="106"/>
      <c r="G38" s="106"/>
      <c r="H38" s="106"/>
      <c r="I38" s="106"/>
      <c r="J38" s="106"/>
      <c r="K38" s="112"/>
      <c r="L38" s="108"/>
      <c r="M38" s="108"/>
      <c r="N38" s="108"/>
      <c r="O38" s="111"/>
      <c r="P38" s="111"/>
    </row>
    <row r="39" spans="1:16" ht="16.5" customHeight="1">
      <c r="A39" s="106"/>
      <c r="B39" s="107"/>
      <c r="C39" s="108"/>
      <c r="D39" s="106"/>
      <c r="E39" s="106"/>
      <c r="F39" s="106"/>
      <c r="G39" s="106"/>
      <c r="H39" s="106"/>
      <c r="I39" s="106"/>
      <c r="J39" s="106"/>
      <c r="K39" s="112"/>
      <c r="L39" s="108"/>
      <c r="M39" s="108"/>
      <c r="N39" s="108"/>
      <c r="O39" s="111"/>
      <c r="P39" s="111"/>
    </row>
    <row r="40" spans="1:16" ht="16.5" customHeight="1">
      <c r="A40" s="106"/>
      <c r="B40" s="107"/>
      <c r="C40" s="108"/>
      <c r="D40" s="106"/>
      <c r="E40" s="106"/>
      <c r="F40" s="106"/>
      <c r="G40" s="106"/>
      <c r="H40" s="106"/>
      <c r="I40" s="106"/>
      <c r="J40" s="106"/>
      <c r="K40" s="112"/>
      <c r="L40" s="108"/>
      <c r="M40" s="108"/>
      <c r="N40" s="108"/>
      <c r="O40" s="111"/>
      <c r="P40" s="111"/>
    </row>
    <row r="41" spans="1:16" ht="16.5" customHeight="1">
      <c r="A41" s="106"/>
      <c r="B41" s="107"/>
      <c r="C41" s="108"/>
      <c r="D41" s="130"/>
      <c r="E41" s="106"/>
      <c r="F41" s="106"/>
      <c r="G41" s="106"/>
      <c r="H41" s="106"/>
      <c r="I41" s="106"/>
      <c r="J41" s="106"/>
      <c r="K41" s="112"/>
      <c r="L41" s="108"/>
      <c r="M41" s="108"/>
      <c r="N41" s="108"/>
      <c r="O41" s="111"/>
      <c r="P41" s="111"/>
    </row>
    <row r="42" spans="1:16" ht="16.5" customHeight="1">
      <c r="A42" s="106"/>
      <c r="B42" s="107"/>
      <c r="C42" s="108"/>
      <c r="D42" s="119"/>
      <c r="E42" s="106"/>
      <c r="F42" s="106"/>
      <c r="G42" s="106"/>
      <c r="H42" s="106"/>
      <c r="I42" s="106"/>
      <c r="J42" s="106"/>
      <c r="K42" s="112"/>
      <c r="L42" s="108"/>
      <c r="M42" s="108"/>
      <c r="N42" s="108"/>
      <c r="O42" s="111"/>
      <c r="P42" s="111"/>
    </row>
    <row r="43" spans="1:16" ht="16.5" customHeight="1">
      <c r="A43" s="106"/>
      <c r="B43" s="107"/>
      <c r="C43" s="108"/>
      <c r="D43" s="106"/>
      <c r="E43" s="106"/>
      <c r="F43" s="106"/>
      <c r="G43" s="106"/>
      <c r="H43" s="106"/>
      <c r="I43" s="106"/>
      <c r="J43" s="106"/>
      <c r="K43" s="112"/>
      <c r="L43" s="108"/>
      <c r="M43" s="108"/>
      <c r="N43" s="108"/>
      <c r="O43" s="111"/>
      <c r="P43" s="111"/>
    </row>
    <row r="44" spans="1:16" ht="16.5" customHeight="1">
      <c r="A44" s="106"/>
      <c r="B44" s="107"/>
      <c r="C44" s="108"/>
      <c r="D44" s="106"/>
      <c r="E44" s="106"/>
      <c r="F44" s="106"/>
      <c r="G44" s="106"/>
      <c r="H44" s="106"/>
      <c r="I44" s="106"/>
      <c r="J44" s="106"/>
      <c r="K44" s="112"/>
      <c r="L44" s="108"/>
      <c r="M44" s="108"/>
      <c r="N44" s="108"/>
      <c r="O44" s="111"/>
      <c r="P44" s="111"/>
    </row>
    <row r="45" spans="1:16" ht="16.5" customHeight="1">
      <c r="A45" s="106"/>
      <c r="B45" s="107"/>
      <c r="C45" s="108"/>
      <c r="D45" s="106"/>
      <c r="E45" s="106"/>
      <c r="F45" s="106"/>
      <c r="G45" s="106"/>
      <c r="H45" s="106"/>
      <c r="I45" s="106"/>
      <c r="J45" s="106"/>
      <c r="K45" s="112"/>
      <c r="L45" s="108"/>
      <c r="M45" s="108"/>
      <c r="N45" s="108"/>
      <c r="O45" s="111"/>
      <c r="P45" s="111"/>
    </row>
    <row r="46" spans="1:16" ht="16.5" customHeight="1">
      <c r="A46" s="106"/>
      <c r="B46" s="107"/>
      <c r="C46" s="108"/>
      <c r="D46" s="106"/>
      <c r="E46" s="106"/>
      <c r="F46" s="106"/>
      <c r="G46" s="106"/>
      <c r="H46" s="106"/>
      <c r="I46" s="106"/>
      <c r="J46" s="106"/>
      <c r="K46" s="112"/>
      <c r="L46" s="108"/>
      <c r="M46" s="108"/>
      <c r="N46" s="108"/>
      <c r="O46" s="111"/>
      <c r="P46" s="111"/>
    </row>
    <row r="47" spans="1:16" ht="16.5" customHeight="1">
      <c r="A47" s="106"/>
      <c r="B47" s="107"/>
      <c r="C47" s="108"/>
      <c r="D47" s="106"/>
      <c r="E47" s="106"/>
      <c r="F47" s="106"/>
      <c r="G47" s="106"/>
      <c r="H47" s="106"/>
      <c r="I47" s="106"/>
      <c r="J47" s="106"/>
      <c r="K47" s="112"/>
      <c r="L47" s="108"/>
      <c r="M47" s="108"/>
      <c r="N47" s="108"/>
      <c r="O47" s="111"/>
      <c r="P47" s="111"/>
    </row>
    <row r="48" spans="1:16" ht="16.5" customHeight="1">
      <c r="A48" s="106"/>
      <c r="B48" s="107"/>
      <c r="C48" s="108"/>
      <c r="D48" s="106"/>
      <c r="E48" s="106"/>
      <c r="F48" s="106"/>
      <c r="G48" s="106"/>
      <c r="H48" s="106"/>
      <c r="I48" s="106"/>
      <c r="J48" s="106"/>
      <c r="K48" s="112"/>
      <c r="L48" s="108"/>
      <c r="M48" s="108"/>
      <c r="N48" s="108"/>
      <c r="O48" s="111"/>
      <c r="P48" s="111"/>
    </row>
    <row r="49" spans="1:16" ht="16.5" customHeight="1">
      <c r="A49" s="106"/>
      <c r="B49" s="107"/>
      <c r="C49" s="108"/>
      <c r="D49" s="106"/>
      <c r="E49" s="106"/>
      <c r="F49" s="106"/>
      <c r="G49" s="106"/>
      <c r="H49" s="106"/>
      <c r="I49" s="106"/>
      <c r="J49" s="106"/>
      <c r="K49" s="112"/>
      <c r="L49" s="108"/>
      <c r="M49" s="108"/>
      <c r="N49" s="108"/>
      <c r="O49" s="111"/>
      <c r="P49" s="111"/>
    </row>
    <row r="50" spans="1:16" ht="16.5" customHeight="1">
      <c r="A50" s="106"/>
      <c r="B50" s="107"/>
      <c r="C50" s="108"/>
      <c r="D50" s="106"/>
      <c r="E50" s="106"/>
      <c r="F50" s="106"/>
      <c r="G50" s="106"/>
      <c r="H50" s="106"/>
      <c r="I50" s="106"/>
      <c r="J50" s="106"/>
      <c r="K50" s="112"/>
      <c r="L50" s="108"/>
      <c r="M50" s="108"/>
      <c r="N50" s="108"/>
      <c r="O50" s="111"/>
      <c r="P50" s="111"/>
    </row>
    <row r="51" spans="1:16" ht="16.5" customHeight="1">
      <c r="A51" s="106"/>
      <c r="B51" s="107"/>
      <c r="C51" s="108"/>
      <c r="D51" s="106"/>
      <c r="E51" s="106"/>
      <c r="F51" s="106"/>
      <c r="G51" s="106"/>
      <c r="H51" s="106"/>
      <c r="I51" s="106"/>
      <c r="J51" s="106"/>
      <c r="K51" s="112"/>
      <c r="L51" s="108"/>
      <c r="M51" s="108"/>
      <c r="N51" s="108"/>
      <c r="O51" s="111"/>
      <c r="P51" s="111"/>
    </row>
    <row r="52" spans="1:16" ht="16.5" customHeight="1">
      <c r="A52" s="106"/>
      <c r="B52" s="107"/>
      <c r="C52" s="108"/>
      <c r="D52" s="106"/>
      <c r="E52" s="106"/>
      <c r="F52" s="106"/>
      <c r="G52" s="106"/>
      <c r="H52" s="106"/>
      <c r="I52" s="106"/>
      <c r="J52" s="106"/>
      <c r="K52" s="112"/>
      <c r="L52" s="108"/>
      <c r="M52" s="108"/>
      <c r="N52" s="108"/>
      <c r="O52" s="111"/>
      <c r="P52" s="111"/>
    </row>
    <row r="53" spans="1:16" ht="16.5" customHeight="1">
      <c r="A53" s="106"/>
      <c r="B53" s="107"/>
      <c r="C53" s="108"/>
      <c r="D53" s="106"/>
      <c r="E53" s="106"/>
      <c r="F53" s="106"/>
      <c r="G53" s="106"/>
      <c r="H53" s="106"/>
      <c r="I53" s="106"/>
      <c r="J53" s="106"/>
      <c r="K53" s="112"/>
      <c r="L53" s="108"/>
      <c r="M53" s="108"/>
      <c r="N53" s="108"/>
      <c r="O53" s="111"/>
      <c r="P53" s="111"/>
    </row>
    <row r="54" spans="1:16" ht="16.5" customHeight="1">
      <c r="A54" s="106"/>
      <c r="B54" s="107"/>
      <c r="C54" s="108"/>
      <c r="D54" s="106"/>
      <c r="E54" s="106"/>
      <c r="F54" s="106"/>
      <c r="G54" s="106"/>
      <c r="H54" s="106"/>
      <c r="I54" s="106"/>
      <c r="J54" s="106"/>
      <c r="K54" s="112"/>
      <c r="L54" s="108"/>
      <c r="M54" s="108"/>
      <c r="N54" s="108"/>
      <c r="O54" s="111"/>
      <c r="P54" s="111"/>
    </row>
    <row r="55" spans="1:16" ht="16.5" customHeight="1">
      <c r="A55" s="106"/>
      <c r="B55" s="107"/>
      <c r="C55" s="108"/>
      <c r="D55" s="106"/>
      <c r="E55" s="106"/>
      <c r="F55" s="106"/>
      <c r="G55" s="106"/>
      <c r="H55" s="106"/>
      <c r="I55" s="106"/>
      <c r="J55" s="106"/>
      <c r="K55" s="112"/>
      <c r="L55" s="108"/>
      <c r="M55" s="108"/>
      <c r="N55" s="108"/>
      <c r="O55" s="111"/>
      <c r="P55" s="111"/>
    </row>
    <row r="56" spans="1:16" ht="16.5" customHeight="1">
      <c r="A56" s="106"/>
      <c r="B56" s="107"/>
      <c r="C56" s="108"/>
      <c r="D56" s="106"/>
      <c r="E56" s="106"/>
      <c r="F56" s="106"/>
      <c r="G56" s="106"/>
      <c r="H56" s="106"/>
      <c r="I56" s="106"/>
      <c r="J56" s="106"/>
      <c r="K56" s="112"/>
      <c r="L56" s="108"/>
      <c r="M56" s="108"/>
      <c r="N56" s="108"/>
      <c r="O56" s="111"/>
      <c r="P56" s="111"/>
    </row>
    <row r="57" spans="1:16" ht="16.5" customHeight="1">
      <c r="A57" s="106"/>
      <c r="B57" s="107"/>
      <c r="C57" s="108"/>
      <c r="D57" s="106"/>
      <c r="E57" s="106"/>
      <c r="F57" s="106"/>
      <c r="G57" s="106"/>
      <c r="H57" s="106"/>
      <c r="I57" s="106"/>
      <c r="J57" s="106"/>
      <c r="K57" s="112"/>
      <c r="L57" s="108"/>
      <c r="M57" s="108"/>
      <c r="N57" s="108"/>
      <c r="O57" s="111"/>
      <c r="P57" s="111"/>
    </row>
    <row r="58" spans="1:16" ht="16.5" customHeight="1">
      <c r="A58" s="106"/>
      <c r="B58" s="107"/>
      <c r="C58" s="108"/>
      <c r="D58" s="106"/>
      <c r="E58" s="106"/>
      <c r="F58" s="106"/>
      <c r="G58" s="106"/>
      <c r="H58" s="106"/>
      <c r="I58" s="106"/>
      <c r="J58" s="106"/>
      <c r="K58" s="112"/>
      <c r="L58" s="108"/>
      <c r="M58" s="108"/>
      <c r="N58" s="108"/>
      <c r="O58" s="111"/>
      <c r="P58" s="111"/>
    </row>
    <row r="59" spans="1:16" ht="16.5" customHeight="1">
      <c r="A59" s="106"/>
      <c r="B59" s="107"/>
      <c r="C59" s="108"/>
      <c r="D59" s="106"/>
      <c r="E59" s="106"/>
      <c r="F59" s="106"/>
      <c r="G59" s="106"/>
      <c r="H59" s="106"/>
      <c r="I59" s="106"/>
      <c r="J59" s="106"/>
      <c r="K59" s="112"/>
      <c r="L59" s="108"/>
      <c r="M59" s="108"/>
      <c r="N59" s="108"/>
      <c r="O59" s="111"/>
      <c r="P59" s="111"/>
    </row>
    <row r="60" spans="1:16" ht="16.5" customHeight="1">
      <c r="A60" s="106"/>
      <c r="B60" s="107"/>
      <c r="C60" s="108"/>
      <c r="D60" s="106"/>
      <c r="E60" s="106"/>
      <c r="F60" s="106"/>
      <c r="G60" s="106"/>
      <c r="H60" s="106"/>
      <c r="I60" s="106"/>
      <c r="J60" s="106"/>
      <c r="K60" s="112"/>
      <c r="L60" s="108"/>
      <c r="M60" s="108"/>
      <c r="N60" s="108"/>
      <c r="O60" s="111"/>
      <c r="P60" s="111"/>
    </row>
    <row r="61" spans="1:16" ht="16.5" customHeight="1">
      <c r="A61" s="106"/>
      <c r="B61" s="107"/>
      <c r="C61" s="108"/>
      <c r="D61" s="106"/>
      <c r="E61" s="106"/>
      <c r="F61" s="106"/>
      <c r="G61" s="106"/>
      <c r="H61" s="106"/>
      <c r="I61" s="106"/>
      <c r="J61" s="106"/>
      <c r="K61" s="112"/>
      <c r="L61" s="108"/>
      <c r="M61" s="108"/>
      <c r="N61" s="108"/>
      <c r="O61" s="111"/>
      <c r="P61" s="111"/>
    </row>
    <row r="62" spans="1:16" ht="16.5" customHeight="1">
      <c r="A62" s="106"/>
      <c r="B62" s="107"/>
      <c r="C62" s="108"/>
      <c r="D62" s="106"/>
      <c r="E62" s="106"/>
      <c r="F62" s="106"/>
      <c r="G62" s="106"/>
      <c r="H62" s="106"/>
      <c r="I62" s="106"/>
      <c r="J62" s="106"/>
      <c r="K62" s="112"/>
      <c r="L62" s="108"/>
      <c r="M62" s="108"/>
      <c r="N62" s="108"/>
      <c r="O62" s="111"/>
      <c r="P62" s="111"/>
    </row>
    <row r="63" spans="1:16" ht="16.5" customHeight="1">
      <c r="A63" s="106"/>
      <c r="B63" s="107"/>
      <c r="C63" s="108"/>
      <c r="D63" s="106"/>
      <c r="E63" s="106"/>
      <c r="F63" s="106"/>
      <c r="G63" s="106"/>
      <c r="H63" s="106"/>
      <c r="I63" s="106"/>
      <c r="J63" s="106"/>
      <c r="K63" s="112"/>
      <c r="L63" s="108"/>
      <c r="M63" s="108"/>
      <c r="N63" s="108"/>
      <c r="O63" s="111"/>
      <c r="P63" s="111"/>
    </row>
    <row r="64" spans="1:16" ht="16.5" customHeight="1">
      <c r="A64" s="106"/>
      <c r="B64" s="107"/>
      <c r="C64" s="108"/>
      <c r="D64" s="106"/>
      <c r="E64" s="106"/>
      <c r="F64" s="106"/>
      <c r="G64" s="106"/>
      <c r="H64" s="106"/>
      <c r="I64" s="106"/>
      <c r="J64" s="106"/>
      <c r="K64" s="112"/>
      <c r="L64" s="108"/>
      <c r="M64" s="108"/>
      <c r="N64" s="108"/>
      <c r="O64" s="111"/>
      <c r="P64" s="111"/>
    </row>
    <row r="65" spans="1:16" ht="16.5" customHeight="1">
      <c r="A65" s="106"/>
      <c r="B65" s="107"/>
      <c r="C65" s="108"/>
      <c r="D65" s="106"/>
      <c r="E65" s="106"/>
      <c r="F65" s="106"/>
      <c r="G65" s="106"/>
      <c r="H65" s="106"/>
      <c r="I65" s="106"/>
      <c r="J65" s="106"/>
      <c r="K65" s="112"/>
      <c r="L65" s="108"/>
      <c r="M65" s="108"/>
      <c r="N65" s="108"/>
      <c r="O65" s="111"/>
      <c r="P65" s="111"/>
    </row>
    <row r="66" spans="1:16" ht="16.5" customHeight="1">
      <c r="A66" s="106"/>
      <c r="B66" s="107"/>
      <c r="C66" s="108"/>
      <c r="D66" s="106"/>
      <c r="E66" s="106"/>
      <c r="F66" s="106"/>
      <c r="G66" s="106"/>
      <c r="H66" s="106"/>
      <c r="I66" s="106"/>
      <c r="J66" s="106"/>
      <c r="K66" s="112"/>
      <c r="L66" s="108"/>
      <c r="M66" s="108"/>
      <c r="N66" s="108"/>
      <c r="O66" s="111"/>
      <c r="P66" s="111"/>
    </row>
    <row r="67" spans="1:16" ht="16.5" customHeight="1">
      <c r="A67" s="106"/>
      <c r="B67" s="107"/>
      <c r="C67" s="108"/>
      <c r="D67" s="106"/>
      <c r="E67" s="106"/>
      <c r="F67" s="106"/>
      <c r="G67" s="106"/>
      <c r="H67" s="106"/>
      <c r="I67" s="106"/>
      <c r="J67" s="106"/>
      <c r="K67" s="112"/>
      <c r="L67" s="108"/>
      <c r="M67" s="108"/>
      <c r="N67" s="108"/>
      <c r="O67" s="111"/>
      <c r="P67" s="111"/>
    </row>
    <row r="68" spans="1:16" ht="16.5" customHeight="1">
      <c r="A68" s="106"/>
      <c r="B68" s="107"/>
      <c r="C68" s="108"/>
      <c r="D68" s="106"/>
      <c r="E68" s="106"/>
      <c r="F68" s="106"/>
      <c r="G68" s="106"/>
      <c r="H68" s="106"/>
      <c r="I68" s="106"/>
      <c r="J68" s="106"/>
      <c r="K68" s="112"/>
      <c r="L68" s="108"/>
      <c r="M68" s="108"/>
      <c r="N68" s="108"/>
      <c r="O68" s="111"/>
      <c r="P68" s="111"/>
    </row>
    <row r="69" spans="1:16" ht="16.5" customHeight="1">
      <c r="A69" s="106"/>
      <c r="B69" s="107"/>
      <c r="C69" s="108"/>
      <c r="D69" s="106"/>
      <c r="E69" s="106"/>
      <c r="F69" s="106"/>
      <c r="G69" s="106"/>
      <c r="H69" s="106"/>
      <c r="I69" s="106"/>
      <c r="J69" s="106"/>
      <c r="K69" s="112"/>
      <c r="L69" s="108"/>
      <c r="M69" s="108"/>
      <c r="N69" s="108"/>
      <c r="O69" s="111"/>
      <c r="P69" s="111"/>
    </row>
    <row r="70" spans="1:16" ht="16.5" customHeight="1">
      <c r="A70" s="106"/>
      <c r="B70" s="107"/>
      <c r="C70" s="108"/>
      <c r="D70" s="106"/>
      <c r="E70" s="106"/>
      <c r="F70" s="106"/>
      <c r="G70" s="106"/>
      <c r="H70" s="106"/>
      <c r="I70" s="106"/>
      <c r="J70" s="106"/>
      <c r="K70" s="112"/>
      <c r="L70" s="108"/>
      <c r="M70" s="108"/>
      <c r="N70" s="108"/>
      <c r="O70" s="111"/>
      <c r="P70" s="111"/>
    </row>
    <row r="71" spans="1:16" ht="16.5" customHeight="1">
      <c r="A71" s="106"/>
      <c r="B71" s="107"/>
      <c r="C71" s="108"/>
      <c r="D71" s="106"/>
      <c r="E71" s="106"/>
      <c r="F71" s="106"/>
      <c r="G71" s="106"/>
      <c r="H71" s="106"/>
      <c r="I71" s="106"/>
      <c r="J71" s="106"/>
      <c r="K71" s="112"/>
      <c r="L71" s="108"/>
      <c r="M71" s="108"/>
      <c r="N71" s="108"/>
      <c r="O71" s="111"/>
      <c r="P71" s="111"/>
    </row>
    <row r="72" spans="1:16" ht="16.5" customHeight="1">
      <c r="A72" s="106"/>
      <c r="B72" s="107"/>
      <c r="C72" s="108"/>
      <c r="D72" s="106"/>
      <c r="E72" s="106"/>
      <c r="F72" s="106"/>
      <c r="G72" s="106"/>
      <c r="H72" s="106"/>
      <c r="I72" s="106"/>
      <c r="J72" s="106"/>
      <c r="K72" s="112"/>
      <c r="L72" s="108"/>
      <c r="M72" s="108"/>
      <c r="N72" s="108"/>
      <c r="O72" s="111"/>
      <c r="P72" s="111"/>
    </row>
    <row r="73" spans="1:16" ht="16.5" customHeight="1">
      <c r="A73" s="106"/>
      <c r="B73" s="107"/>
      <c r="C73" s="108"/>
      <c r="D73" s="106"/>
      <c r="E73" s="106"/>
      <c r="F73" s="106"/>
      <c r="G73" s="106"/>
      <c r="H73" s="106"/>
      <c r="I73" s="106"/>
      <c r="J73" s="106"/>
      <c r="K73" s="112"/>
      <c r="L73" s="108"/>
      <c r="M73" s="108"/>
      <c r="N73" s="108"/>
      <c r="O73" s="111"/>
      <c r="P73" s="111"/>
    </row>
    <row r="74" spans="1:16" ht="16.5" customHeight="1">
      <c r="A74" s="106"/>
      <c r="B74" s="107"/>
      <c r="C74" s="108"/>
      <c r="D74" s="106"/>
      <c r="E74" s="106"/>
      <c r="F74" s="106"/>
      <c r="G74" s="106"/>
      <c r="H74" s="106"/>
      <c r="I74" s="106"/>
      <c r="J74" s="106"/>
      <c r="K74" s="112"/>
      <c r="L74" s="108"/>
      <c r="M74" s="108"/>
      <c r="N74" s="108"/>
      <c r="O74" s="111"/>
      <c r="P74" s="111"/>
    </row>
    <row r="75" spans="1:16" ht="16.5" customHeight="1">
      <c r="A75" s="106"/>
      <c r="B75" s="107"/>
      <c r="C75" s="108"/>
      <c r="D75" s="106"/>
      <c r="E75" s="106"/>
      <c r="F75" s="106"/>
      <c r="G75" s="106"/>
      <c r="H75" s="106"/>
      <c r="I75" s="106"/>
      <c r="J75" s="106"/>
      <c r="K75" s="112"/>
      <c r="L75" s="108"/>
      <c r="M75" s="108"/>
      <c r="N75" s="108"/>
      <c r="O75" s="111"/>
      <c r="P75" s="111"/>
    </row>
    <row r="76" spans="1:16" ht="16.5" customHeight="1">
      <c r="A76" s="106"/>
      <c r="B76" s="107"/>
      <c r="C76" s="108"/>
      <c r="D76" s="106"/>
      <c r="E76" s="106"/>
      <c r="F76" s="106"/>
      <c r="G76" s="106"/>
      <c r="H76" s="106"/>
      <c r="I76" s="106"/>
      <c r="J76" s="106"/>
      <c r="K76" s="112"/>
      <c r="L76" s="108"/>
      <c r="M76" s="108"/>
      <c r="N76" s="108"/>
      <c r="O76" s="111"/>
      <c r="P76" s="111"/>
    </row>
    <row r="77" spans="1:16" ht="16.5" customHeight="1">
      <c r="A77" s="106"/>
      <c r="B77" s="107"/>
      <c r="C77" s="108"/>
      <c r="D77" s="106"/>
      <c r="E77" s="106"/>
      <c r="F77" s="106"/>
      <c r="G77" s="106"/>
      <c r="H77" s="106"/>
      <c r="I77" s="106"/>
      <c r="J77" s="106"/>
      <c r="K77" s="112"/>
      <c r="L77" s="108"/>
      <c r="M77" s="108"/>
      <c r="N77" s="108"/>
      <c r="O77" s="111"/>
      <c r="P77" s="111"/>
    </row>
    <row r="78" spans="1:16" ht="16.5" customHeight="1">
      <c r="A78" s="106"/>
      <c r="B78" s="107"/>
      <c r="C78" s="108"/>
      <c r="D78" s="106"/>
      <c r="E78" s="106"/>
      <c r="F78" s="106"/>
      <c r="G78" s="106"/>
      <c r="H78" s="106"/>
      <c r="I78" s="106"/>
      <c r="J78" s="106"/>
      <c r="K78" s="112"/>
      <c r="L78" s="108"/>
      <c r="M78" s="108"/>
      <c r="N78" s="108"/>
      <c r="O78" s="111"/>
      <c r="P78" s="111"/>
    </row>
    <row r="79" spans="1:16" ht="16.5" customHeight="1">
      <c r="A79" s="106"/>
      <c r="B79" s="107"/>
      <c r="C79" s="108"/>
      <c r="D79" s="106"/>
      <c r="E79" s="106"/>
      <c r="F79" s="106"/>
      <c r="G79" s="106"/>
      <c r="H79" s="106"/>
      <c r="I79" s="106"/>
      <c r="J79" s="106"/>
      <c r="K79" s="112"/>
      <c r="L79" s="108"/>
      <c r="M79" s="108"/>
      <c r="N79" s="108"/>
      <c r="O79" s="111"/>
      <c r="P79" s="111"/>
    </row>
    <row r="80" spans="1:16" ht="16.5" customHeight="1">
      <c r="A80" s="106"/>
      <c r="B80" s="107"/>
      <c r="C80" s="108"/>
      <c r="D80" s="106"/>
      <c r="E80" s="106"/>
      <c r="F80" s="106"/>
      <c r="G80" s="106"/>
      <c r="H80" s="106"/>
      <c r="I80" s="106"/>
      <c r="J80" s="106"/>
      <c r="K80" s="112"/>
      <c r="L80" s="108"/>
      <c r="M80" s="108"/>
      <c r="N80" s="108"/>
      <c r="O80" s="111"/>
      <c r="P80" s="111"/>
    </row>
    <row r="81" spans="1:16" ht="16.5" customHeight="1">
      <c r="A81" s="106"/>
      <c r="B81" s="107"/>
      <c r="C81" s="108"/>
      <c r="D81" s="106"/>
      <c r="E81" s="106"/>
      <c r="F81" s="106"/>
      <c r="G81" s="106"/>
      <c r="H81" s="106"/>
      <c r="I81" s="106"/>
      <c r="J81" s="106"/>
      <c r="K81" s="112"/>
      <c r="L81" s="108"/>
      <c r="M81" s="108"/>
      <c r="N81" s="108"/>
      <c r="O81" s="111"/>
      <c r="P81" s="111"/>
    </row>
    <row r="82" spans="1:16" ht="16.5" customHeight="1">
      <c r="A82" s="106"/>
      <c r="B82" s="107"/>
      <c r="C82" s="108"/>
      <c r="D82" s="106"/>
      <c r="E82" s="106"/>
      <c r="F82" s="106"/>
      <c r="G82" s="106"/>
      <c r="H82" s="106"/>
      <c r="I82" s="106"/>
      <c r="J82" s="106"/>
      <c r="K82" s="112"/>
      <c r="L82" s="108"/>
      <c r="M82" s="108"/>
      <c r="N82" s="108"/>
      <c r="O82" s="111"/>
      <c r="P82" s="111"/>
    </row>
    <row r="83" spans="1:16" ht="16.5" customHeight="1">
      <c r="A83" s="106"/>
      <c r="B83" s="107"/>
      <c r="C83" s="108"/>
      <c r="D83" s="106"/>
      <c r="E83" s="106"/>
      <c r="F83" s="106"/>
      <c r="G83" s="106"/>
      <c r="H83" s="106"/>
      <c r="I83" s="106"/>
      <c r="J83" s="106"/>
      <c r="K83" s="112"/>
      <c r="L83" s="108"/>
      <c r="M83" s="108"/>
      <c r="N83" s="108"/>
      <c r="O83" s="111"/>
      <c r="P83" s="111"/>
    </row>
    <row r="84" spans="1:16" ht="16.5" customHeight="1">
      <c r="A84" s="106"/>
      <c r="B84" s="107"/>
      <c r="C84" s="108"/>
      <c r="D84" s="106"/>
      <c r="E84" s="106"/>
      <c r="F84" s="106"/>
      <c r="G84" s="106"/>
      <c r="H84" s="106"/>
      <c r="I84" s="106"/>
      <c r="J84" s="106"/>
      <c r="K84" s="112"/>
      <c r="L84" s="108"/>
      <c r="M84" s="108"/>
      <c r="N84" s="108"/>
      <c r="O84" s="111"/>
      <c r="P84" s="111"/>
    </row>
    <row r="85" spans="1:16" ht="16.5" customHeight="1">
      <c r="A85" s="106"/>
      <c r="B85" s="107"/>
      <c r="C85" s="108"/>
      <c r="D85" s="106"/>
      <c r="E85" s="106"/>
      <c r="F85" s="106"/>
      <c r="G85" s="106"/>
      <c r="H85" s="106"/>
      <c r="I85" s="106"/>
      <c r="J85" s="106"/>
      <c r="K85" s="112"/>
      <c r="L85" s="108"/>
      <c r="M85" s="108"/>
      <c r="N85" s="108"/>
      <c r="O85" s="111"/>
      <c r="P85" s="111"/>
    </row>
    <row r="86" spans="1:16" ht="16.5" customHeight="1">
      <c r="A86" s="106"/>
      <c r="B86" s="107"/>
      <c r="C86" s="108"/>
      <c r="D86" s="106"/>
      <c r="E86" s="106"/>
      <c r="F86" s="106"/>
      <c r="G86" s="106"/>
      <c r="H86" s="106"/>
      <c r="I86" s="106"/>
      <c r="J86" s="106"/>
      <c r="K86" s="112"/>
      <c r="L86" s="108"/>
      <c r="M86" s="108"/>
      <c r="N86" s="108"/>
      <c r="O86" s="111"/>
      <c r="P86" s="111"/>
    </row>
    <row r="87" spans="1:16" ht="16.5" customHeight="1">
      <c r="A87" s="106"/>
      <c r="B87" s="107"/>
      <c r="C87" s="108"/>
      <c r="D87" s="106"/>
      <c r="E87" s="106"/>
      <c r="F87" s="106"/>
      <c r="G87" s="106"/>
      <c r="H87" s="106"/>
      <c r="I87" s="106"/>
      <c r="J87" s="106"/>
      <c r="K87" s="112"/>
      <c r="L87" s="108"/>
      <c r="M87" s="108"/>
      <c r="N87" s="108"/>
      <c r="O87" s="111"/>
      <c r="P87" s="111"/>
    </row>
    <row r="88" spans="1:16" ht="16.5" customHeight="1">
      <c r="A88" s="106"/>
      <c r="B88" s="107"/>
      <c r="C88" s="108"/>
      <c r="D88" s="106"/>
      <c r="E88" s="106"/>
      <c r="F88" s="106"/>
      <c r="G88" s="106"/>
      <c r="H88" s="106"/>
      <c r="I88" s="106"/>
      <c r="J88" s="106"/>
      <c r="K88" s="112"/>
      <c r="L88" s="108"/>
      <c r="M88" s="108"/>
      <c r="N88" s="108"/>
      <c r="O88" s="111"/>
      <c r="P88" s="111"/>
    </row>
    <row r="89" spans="1:16" ht="16.5" customHeight="1">
      <c r="A89" s="106"/>
      <c r="B89" s="107"/>
      <c r="C89" s="108"/>
      <c r="D89" s="106"/>
      <c r="E89" s="106"/>
      <c r="F89" s="106"/>
      <c r="G89" s="106"/>
      <c r="H89" s="106"/>
      <c r="I89" s="106"/>
      <c r="J89" s="106"/>
      <c r="K89" s="112"/>
      <c r="L89" s="108"/>
      <c r="M89" s="108"/>
      <c r="N89" s="108"/>
      <c r="O89" s="111"/>
      <c r="P89" s="111"/>
    </row>
    <row r="90" spans="1:16" ht="16.5" customHeight="1">
      <c r="A90" s="106"/>
      <c r="B90" s="107"/>
      <c r="C90" s="108"/>
      <c r="D90" s="106"/>
      <c r="E90" s="106"/>
      <c r="F90" s="106"/>
      <c r="G90" s="106"/>
      <c r="H90" s="106"/>
      <c r="I90" s="106"/>
      <c r="J90" s="106"/>
      <c r="K90" s="112"/>
      <c r="L90" s="108"/>
      <c r="M90" s="108"/>
      <c r="N90" s="108"/>
      <c r="O90" s="111"/>
      <c r="P90" s="111"/>
    </row>
    <row r="91" spans="1:16" ht="16.5" customHeight="1">
      <c r="A91" s="106"/>
      <c r="B91" s="107"/>
      <c r="C91" s="108"/>
      <c r="D91" s="106"/>
      <c r="E91" s="106"/>
      <c r="F91" s="106"/>
      <c r="G91" s="106"/>
      <c r="H91" s="106"/>
      <c r="I91" s="106"/>
      <c r="J91" s="106"/>
      <c r="K91" s="112"/>
      <c r="L91" s="108"/>
      <c r="M91" s="108"/>
      <c r="N91" s="108"/>
      <c r="O91" s="111"/>
      <c r="P91" s="111"/>
    </row>
    <row r="92" spans="1:16" ht="16.5" customHeight="1">
      <c r="A92" s="106"/>
      <c r="B92" s="107"/>
      <c r="C92" s="108"/>
      <c r="D92" s="106"/>
      <c r="E92" s="106"/>
      <c r="F92" s="106"/>
      <c r="G92" s="106"/>
      <c r="H92" s="106"/>
      <c r="I92" s="106"/>
      <c r="J92" s="106"/>
      <c r="K92" s="112"/>
      <c r="L92" s="108"/>
      <c r="M92" s="108"/>
      <c r="N92" s="108"/>
      <c r="O92" s="111"/>
      <c r="P92" s="111"/>
    </row>
    <row r="93" spans="1:16" ht="16.5" customHeight="1">
      <c r="A93" s="106"/>
      <c r="B93" s="107"/>
      <c r="C93" s="108"/>
      <c r="D93" s="106"/>
      <c r="E93" s="106"/>
      <c r="F93" s="106"/>
      <c r="G93" s="106"/>
      <c r="H93" s="106"/>
      <c r="I93" s="106"/>
      <c r="J93" s="106"/>
      <c r="K93" s="112"/>
      <c r="L93" s="108"/>
      <c r="M93" s="108"/>
      <c r="N93" s="108"/>
      <c r="O93" s="111"/>
      <c r="P93" s="111"/>
    </row>
    <row r="94" spans="1:16" ht="16.5" customHeight="1">
      <c r="A94" s="106"/>
      <c r="B94" s="107"/>
      <c r="C94" s="108"/>
      <c r="D94" s="106"/>
      <c r="E94" s="106"/>
      <c r="F94" s="106"/>
      <c r="G94" s="106"/>
      <c r="H94" s="106"/>
      <c r="I94" s="106"/>
      <c r="J94" s="106"/>
      <c r="K94" s="112"/>
      <c r="L94" s="108"/>
      <c r="M94" s="108"/>
      <c r="N94" s="108"/>
      <c r="O94" s="111"/>
      <c r="P94" s="111"/>
    </row>
    <row r="95" spans="1:16" ht="16.5" customHeight="1">
      <c r="A95" s="106"/>
      <c r="B95" s="107"/>
      <c r="C95" s="108"/>
      <c r="D95" s="106"/>
      <c r="E95" s="106"/>
      <c r="F95" s="106"/>
      <c r="G95" s="106"/>
      <c r="H95" s="106"/>
      <c r="I95" s="106"/>
      <c r="J95" s="106"/>
      <c r="K95" s="112"/>
      <c r="L95" s="108"/>
      <c r="M95" s="108"/>
      <c r="N95" s="108"/>
      <c r="O95" s="111"/>
      <c r="P95" s="111"/>
    </row>
    <row r="96" spans="1:16" ht="16.5" customHeight="1">
      <c r="A96" s="106"/>
      <c r="B96" s="107"/>
      <c r="C96" s="108"/>
      <c r="D96" s="106"/>
      <c r="E96" s="106"/>
      <c r="F96" s="106"/>
      <c r="G96" s="106"/>
      <c r="H96" s="106"/>
      <c r="I96" s="106"/>
      <c r="J96" s="106"/>
      <c r="K96" s="112"/>
      <c r="L96" s="108"/>
      <c r="M96" s="108"/>
      <c r="N96" s="108"/>
      <c r="O96" s="111"/>
      <c r="P96" s="111"/>
    </row>
    <row r="97" spans="1:16" ht="16.5" customHeight="1">
      <c r="A97" s="106"/>
      <c r="B97" s="107"/>
      <c r="C97" s="108"/>
      <c r="D97" s="106"/>
      <c r="E97" s="106"/>
      <c r="F97" s="106"/>
      <c r="G97" s="106"/>
      <c r="H97" s="106"/>
      <c r="I97" s="106"/>
      <c r="J97" s="106"/>
      <c r="K97" s="112"/>
      <c r="L97" s="108"/>
      <c r="M97" s="108"/>
      <c r="N97" s="108"/>
      <c r="O97" s="111"/>
      <c r="P97" s="111"/>
    </row>
    <row r="98" spans="1:16" ht="16.5" customHeight="1">
      <c r="A98" s="106"/>
      <c r="B98" s="107"/>
      <c r="C98" s="108"/>
      <c r="D98" s="106"/>
      <c r="E98" s="106"/>
      <c r="F98" s="106"/>
      <c r="G98" s="106"/>
      <c r="H98" s="106"/>
      <c r="I98" s="106"/>
      <c r="J98" s="106"/>
      <c r="K98" s="112"/>
      <c r="L98" s="108"/>
      <c r="M98" s="108"/>
      <c r="N98" s="108"/>
      <c r="O98" s="111"/>
      <c r="P98" s="111"/>
    </row>
    <row r="99" spans="1:16" ht="16.5" customHeight="1">
      <c r="A99" s="106"/>
      <c r="B99" s="107"/>
      <c r="C99" s="108"/>
      <c r="D99" s="106"/>
      <c r="E99" s="106"/>
      <c r="F99" s="106"/>
      <c r="G99" s="106"/>
      <c r="H99" s="106"/>
      <c r="I99" s="106"/>
      <c r="J99" s="106"/>
      <c r="K99" s="112"/>
      <c r="L99" s="108"/>
      <c r="M99" s="108"/>
      <c r="N99" s="108"/>
      <c r="O99" s="111"/>
      <c r="P99" s="111"/>
    </row>
    <row r="100" spans="1:16" ht="16.5" customHeight="1">
      <c r="A100" s="106"/>
      <c r="B100" s="107"/>
      <c r="C100" s="108"/>
      <c r="D100" s="106"/>
      <c r="E100" s="106"/>
      <c r="F100" s="106"/>
      <c r="G100" s="106"/>
      <c r="H100" s="106"/>
      <c r="I100" s="106"/>
      <c r="J100" s="106"/>
      <c r="K100" s="112"/>
      <c r="L100" s="108"/>
      <c r="M100" s="108"/>
      <c r="N100" s="108"/>
      <c r="O100" s="111"/>
      <c r="P100" s="111"/>
    </row>
  </sheetData>
  <dataValidations count="13">
    <dataValidation type="list" showDropDown="1" sqref="E26">
      <formula1>"Q. ĐỘI TRƯỞNG,KT. ĐỘI TRƯỞNG,PHÓ ĐỘI TRƯỞNG,Nguyễn Đình Thuận,Đinh Văn Vinh"</formula1>
    </dataValidation>
    <dataValidation type="list" allowBlank="1" showErrorMessage="1" sqref="M12">
      <formula1>"abc,aaaaaaaaaaaaaaaaaa"</formula1>
    </dataValidation>
    <dataValidation type="list" allowBlank="1" sqref="K12">
      <formula1>"1.0,AAAAAAA,AAAAAAAAAAA"</formula1>
    </dataValidation>
    <dataValidation type="list" allowBlank="1" showErrorMessage="1" sqref="K10">
      <formula1>"1.0,AAAAAAA,AAAAAAAAAAA"</formula1>
    </dataValidation>
    <dataValidation type="list" allowBlank="1" showErrorMessage="1" sqref="I20">
      <formula1>"ĐỘI TRƯỞNG,KT. ĐỘI TRƯỞNG,PHÓ ĐỘI TRƯỞNG,Nguyễn Đình Thuận,Đinh Văn Vinh"</formula1>
    </dataValidation>
    <dataValidation type="list" allowBlank="1" showErrorMessage="1" sqref="I21 I25:I26">
      <formula1>"Q. ĐỘI TRƯỞNG,KT. ĐỘI TRƯỞNG,PHÓ ĐỘI TRƯỞNG,Nguyễn Đình Thuận,Đinh Văn Vinh"</formula1>
    </dataValidation>
    <dataValidation type="list" allowBlank="1" showErrorMessage="1" sqref="D26">
      <formula1>"Nguyễn Vĩnh Tuấn,Nguyễn Trọng Nghĩa"</formula1>
    </dataValidation>
    <dataValidation type="list" allowBlank="1" showErrorMessage="1" sqref="A12">
      <formula1>"1.0,111.0"</formula1>
    </dataValidation>
    <dataValidation type="list" allowBlank="1" showErrorMessage="1" sqref="G26">
      <formula1>$D$41:$D$42</formula1>
    </dataValidation>
    <dataValidation type="list" allowBlank="1" showErrorMessage="1" sqref="C12">
      <formula1>"1.0,2.0,3
3"</formula1>
    </dataValidation>
    <dataValidation type="list" allowBlank="1" showErrorMessage="1" sqref="J20:J21">
      <formula1>$K$20:$K$25</formula1>
    </dataValidation>
    <dataValidation type="list" allowBlank="1" showErrorMessage="1" sqref="D20:D21">
      <formula1>"GIÁM ĐỐC,PHÓ GIÁM ĐỐC,KT. GIÁM ĐỐC"</formula1>
    </dataValidation>
    <dataValidation type="list" allowBlank="1" showErrorMessage="1" sqref="E20">
      <formula1>"ĐỘI TRƯỞNG,TRƯỞNG PHÒNG,KT. ĐỘI TRƯỞNG,PHÓ ĐỘI TRƯỞNG,Nguyễn Đình Thuận,Đinh Văn Vinh"</formula1>
    </dataValidation>
  </dataValidations>
  <pageMargins left="0.68" right="0.4" top="0.75" bottom="0.39" header="0" footer="0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1"/>
  <sheetViews>
    <sheetView topLeftCell="B4" workbookViewId="0">
      <selection activeCell="B11" sqref="B11"/>
    </sheetView>
  </sheetViews>
  <sheetFormatPr defaultColWidth="14.44140625" defaultRowHeight="15" customHeight="1"/>
  <cols>
    <col min="1" max="1" width="10.33203125" style="113" hidden="1" customWidth="1"/>
    <col min="2" max="2" width="88.33203125" style="113" customWidth="1"/>
    <col min="3" max="3" width="14.77734375" style="113" customWidth="1"/>
    <col min="4" max="4" width="21.5546875" style="113" customWidth="1"/>
    <col min="5" max="5" width="22.6640625" style="113" customWidth="1"/>
    <col min="6" max="6" width="19.33203125" style="113" customWidth="1"/>
    <col min="7" max="7" width="50.33203125" style="113" customWidth="1"/>
    <col min="8" max="8" width="29.6640625" style="113" customWidth="1"/>
    <col min="9" max="9" width="26" style="113" customWidth="1"/>
    <col min="10" max="10" width="11.44140625" style="113" hidden="1" customWidth="1"/>
    <col min="11" max="11" width="9.109375" style="113" customWidth="1"/>
    <col min="12" max="12" width="14.33203125" style="113" customWidth="1"/>
    <col min="13" max="14" width="17.44140625" style="113" customWidth="1"/>
    <col min="15" max="15" width="22.44140625" style="113" customWidth="1"/>
    <col min="16" max="16" width="101.109375" style="113" customWidth="1"/>
    <col min="17" max="16384" width="14.44140625" style="113"/>
  </cols>
  <sheetData>
    <row r="1" spans="1:16" ht="16.5" customHeight="1">
      <c r="A1" s="106"/>
      <c r="B1" s="107"/>
      <c r="C1" s="108"/>
      <c r="D1" s="109" t="s">
        <v>65</v>
      </c>
      <c r="E1" s="133">
        <f ca="1">IF(F1&lt;&gt;0,F1,TODAY())</f>
        <v>43766</v>
      </c>
      <c r="F1" s="134"/>
      <c r="G1" s="111"/>
      <c r="H1" s="107"/>
      <c r="I1" s="107"/>
      <c r="J1" s="107"/>
      <c r="K1" s="112"/>
      <c r="L1" s="108"/>
      <c r="M1" s="106"/>
      <c r="N1" s="106"/>
      <c r="O1" s="106"/>
      <c r="P1" s="106"/>
    </row>
    <row r="2" spans="1:16" ht="16.5" customHeight="1">
      <c r="A2" s="106"/>
      <c r="B2" s="107"/>
      <c r="C2" s="108"/>
      <c r="D2" s="109">
        <v>9</v>
      </c>
      <c r="E2" s="108"/>
      <c r="F2" s="111"/>
      <c r="G2" s="111"/>
      <c r="H2" s="107" t="s">
        <v>158</v>
      </c>
      <c r="I2" s="107" t="s">
        <v>159</v>
      </c>
      <c r="J2" s="107"/>
      <c r="K2" s="112"/>
      <c r="L2" s="108"/>
      <c r="M2" s="106"/>
      <c r="N2" s="106"/>
      <c r="O2" s="106"/>
      <c r="P2" s="106"/>
    </row>
    <row r="3" spans="1:16" ht="16.5" customHeight="1">
      <c r="A3" s="106"/>
      <c r="B3" s="107"/>
      <c r="C3" s="108"/>
      <c r="D3" s="108" t="str">
        <f>$E$27</f>
        <v>Lê Ngọc Thanh</v>
      </c>
      <c r="E3" s="108"/>
      <c r="F3" s="111"/>
      <c r="G3" s="111"/>
      <c r="H3" s="106" t="s">
        <v>160</v>
      </c>
      <c r="I3" s="107" t="s">
        <v>161</v>
      </c>
      <c r="J3" s="106"/>
      <c r="K3" s="112"/>
      <c r="L3" s="108"/>
      <c r="M3" s="106"/>
      <c r="N3" s="106"/>
      <c r="O3" s="106"/>
      <c r="P3" s="106"/>
    </row>
    <row r="4" spans="1:16" ht="16.5" customHeight="1">
      <c r="A4" s="106"/>
      <c r="B4" s="107"/>
      <c r="C4" s="114"/>
      <c r="D4" s="108" t="s">
        <v>148</v>
      </c>
      <c r="E4" s="108"/>
      <c r="F4" s="111"/>
      <c r="G4" s="111"/>
      <c r="H4" s="115" t="s">
        <v>162</v>
      </c>
      <c r="I4" s="107" t="s">
        <v>163</v>
      </c>
      <c r="J4" s="115"/>
      <c r="K4" s="112"/>
      <c r="L4" s="108"/>
      <c r="M4" s="106"/>
      <c r="N4" s="106"/>
      <c r="O4" s="106"/>
      <c r="P4" s="106"/>
    </row>
    <row r="5" spans="1:16" ht="16.5" customHeight="1">
      <c r="A5" s="106"/>
      <c r="B5" s="107"/>
      <c r="C5" s="108"/>
      <c r="D5" s="108"/>
      <c r="E5" s="110"/>
      <c r="F5" s="111"/>
      <c r="G5" s="111"/>
      <c r="H5" s="106" t="s">
        <v>164</v>
      </c>
      <c r="I5" s="107" t="s">
        <v>148</v>
      </c>
      <c r="J5" s="106"/>
      <c r="K5" s="112"/>
      <c r="L5" s="108"/>
      <c r="M5" s="108"/>
      <c r="N5" s="108"/>
      <c r="O5" s="111"/>
      <c r="P5" s="111"/>
    </row>
    <row r="6" spans="1:16" ht="18" customHeight="1">
      <c r="A6" s="106"/>
      <c r="B6" s="116" t="s">
        <v>165</v>
      </c>
      <c r="C6" s="117"/>
      <c r="D6" s="118"/>
      <c r="E6" s="108"/>
      <c r="F6" s="111"/>
      <c r="G6" s="111"/>
      <c r="H6" s="119" t="s">
        <v>166</v>
      </c>
      <c r="I6" s="107" t="s">
        <v>167</v>
      </c>
      <c r="J6" s="119"/>
      <c r="K6" s="112"/>
      <c r="L6" s="108"/>
      <c r="M6" s="106"/>
      <c r="N6" s="106"/>
      <c r="O6" s="106"/>
      <c r="P6" s="106"/>
    </row>
    <row r="7" spans="1:16" ht="18" customHeight="1">
      <c r="A7" s="106"/>
      <c r="B7" s="116" t="s">
        <v>168</v>
      </c>
      <c r="C7" s="108"/>
      <c r="D7" s="108"/>
      <c r="E7" s="110"/>
      <c r="F7" s="111"/>
      <c r="G7" s="111"/>
      <c r="H7" s="119" t="s">
        <v>169</v>
      </c>
      <c r="I7" s="119"/>
      <c r="J7" s="119"/>
      <c r="K7" s="112"/>
      <c r="L7" s="108"/>
      <c r="M7" s="106"/>
      <c r="N7" s="106"/>
      <c r="O7" s="106"/>
      <c r="P7" s="106"/>
    </row>
    <row r="8" spans="1:16" ht="16.5" customHeight="1">
      <c r="A8" s="106"/>
      <c r="B8" s="107"/>
      <c r="C8" s="117"/>
      <c r="D8" s="118"/>
      <c r="E8" s="108"/>
      <c r="F8" s="111"/>
      <c r="G8" s="111"/>
      <c r="H8" s="106"/>
      <c r="I8" s="106"/>
      <c r="J8" s="106"/>
      <c r="K8" s="112"/>
      <c r="L8" s="108"/>
      <c r="M8" s="106"/>
      <c r="N8" s="106"/>
      <c r="O8" s="106"/>
      <c r="P8" s="106"/>
    </row>
    <row r="9" spans="1:16" ht="25.5" customHeight="1">
      <c r="A9" s="120"/>
      <c r="B9" s="108" t="s">
        <v>170</v>
      </c>
      <c r="C9" s="108"/>
      <c r="D9" s="110" t="s">
        <v>193</v>
      </c>
      <c r="E9" s="110" t="s">
        <v>194</v>
      </c>
      <c r="F9" s="121"/>
      <c r="G9" s="108" t="s">
        <v>171</v>
      </c>
      <c r="H9" s="120"/>
      <c r="I9" s="120"/>
      <c r="J9" s="120"/>
      <c r="K9" s="112"/>
      <c r="L9" s="108"/>
      <c r="M9" s="120"/>
      <c r="N9" s="120"/>
      <c r="O9" s="120"/>
      <c r="P9" s="120"/>
    </row>
    <row r="10" spans="1:16" ht="26.4" customHeight="1">
      <c r="A10" s="106"/>
      <c r="B10" s="122" t="str">
        <f>IF(LEN(G10)&gt;9,G10,"         Căn cứ vào lịch công tác: từ ngày "&amp;TEXT(E1-WEEKDAY(E1,3),"dd/MM/yyyy")&amp;" đến ngày "&amp;TEXT(E1+6-WEEKDAY(E1,3),"dd/MM/yyyy")&amp;".")</f>
        <v xml:space="preserve">          Căn cứ lịch công tác tuần của công ty TNHH một thành viên Điện lực Đồng Nai.</v>
      </c>
      <c r="C10" s="108"/>
      <c r="D10" s="108"/>
      <c r="E10" s="108"/>
      <c r="F10" s="111"/>
      <c r="G10" s="123" t="str">
        <f>tab&amp;"Căn cứ lịch công tác tuần của công ty TNHH một thành viên Điện lực Đồng Nai."</f>
        <v xml:space="preserve">          Căn cứ lịch công tác tuần của công ty TNHH một thành viên Điện lực Đồng Nai.</v>
      </c>
      <c r="H10" s="120"/>
      <c r="I10" s="120"/>
      <c r="J10" s="120"/>
      <c r="K10" s="124"/>
      <c r="L10" s="108"/>
      <c r="M10" s="106"/>
      <c r="N10" s="106"/>
      <c r="O10" s="106"/>
      <c r="P10" s="106"/>
    </row>
    <row r="11" spans="1:16" ht="39" customHeight="1">
      <c r="A11" s="106"/>
      <c r="B11" s="122" t="str">
        <f>"         "&amp;F11&amp;" kính đề nghị Giám đốc chấp thuận các đề xuất xin xe phục vụ công tác như sau:"</f>
        <v xml:space="preserve">         Phòng Tổng Hợp kính đề nghị Giám đốc chấp thuận các đề xuất xin xe phục vụ công tác như sau:</v>
      </c>
      <c r="C11" s="108"/>
      <c r="D11" s="108" t="s">
        <v>176</v>
      </c>
      <c r="E11" s="108">
        <v>0</v>
      </c>
      <c r="F11" s="135" t="s">
        <v>164</v>
      </c>
      <c r="G11" s="111"/>
      <c r="H11" s="120"/>
      <c r="I11" s="120"/>
      <c r="J11" s="120"/>
      <c r="K11" s="112"/>
      <c r="L11" s="108"/>
      <c r="M11" s="106"/>
      <c r="N11" s="106"/>
      <c r="O11" s="106"/>
      <c r="P11" s="106"/>
    </row>
    <row r="12" spans="1:16" ht="22.2" customHeight="1">
      <c r="A12" s="111"/>
      <c r="B12" s="122" t="s">
        <v>192</v>
      </c>
      <c r="C12" s="125"/>
      <c r="D12" s="108">
        <v>16</v>
      </c>
      <c r="E12" s="108">
        <v>0</v>
      </c>
      <c r="F12" s="120"/>
      <c r="G12" s="120" t="s">
        <v>172</v>
      </c>
      <c r="H12" s="120"/>
      <c r="I12" s="120"/>
      <c r="J12" s="120"/>
      <c r="K12" s="124"/>
      <c r="L12" s="108"/>
      <c r="M12" s="108"/>
      <c r="N12" s="108"/>
      <c r="O12" s="111"/>
      <c r="P12" s="111"/>
    </row>
    <row r="13" spans="1:16" ht="16.5" customHeight="1">
      <c r="A13" s="106"/>
      <c r="B13" s="126" t="str">
        <f>"         Nguồn vốn của công trình hoặc công việc: "</f>
        <v xml:space="preserve">         Nguồn vốn của công trình hoặc công việc: </v>
      </c>
      <c r="C13" s="108"/>
      <c r="D13" s="106"/>
      <c r="E13" s="106"/>
      <c r="F13" s="106"/>
      <c r="G13" s="106"/>
      <c r="H13" s="106"/>
      <c r="I13" s="106"/>
      <c r="J13" s="106"/>
      <c r="K13" s="112"/>
      <c r="L13" s="108"/>
      <c r="M13" s="108"/>
      <c r="N13" s="108"/>
      <c r="O13" s="111"/>
      <c r="P13" s="111"/>
    </row>
    <row r="14" spans="1:16" ht="19.5" customHeight="1">
      <c r="A14" s="106"/>
      <c r="B14" s="126" t="s">
        <v>197</v>
      </c>
      <c r="C14" s="120"/>
      <c r="D14" s="106"/>
      <c r="E14" s="106"/>
      <c r="F14" s="106"/>
      <c r="G14" s="106"/>
      <c r="H14" s="106"/>
      <c r="I14" s="106"/>
      <c r="J14" s="106"/>
      <c r="K14" s="112"/>
      <c r="L14" s="108"/>
      <c r="M14" s="108"/>
      <c r="N14" s="108"/>
      <c r="O14" s="111"/>
      <c r="P14" s="111"/>
    </row>
    <row r="15" spans="1:16" ht="22.2" customHeight="1">
      <c r="A15" s="106"/>
      <c r="B15" s="126" t="s">
        <v>173</v>
      </c>
      <c r="C15" s="108"/>
      <c r="D15" s="106"/>
      <c r="E15" s="106"/>
      <c r="F15" s="106"/>
      <c r="G15" s="106"/>
      <c r="H15" s="106"/>
      <c r="I15" s="106"/>
      <c r="J15" s="106"/>
      <c r="K15" s="112"/>
      <c r="L15" s="108"/>
      <c r="M15" s="108"/>
      <c r="N15" s="108"/>
      <c r="O15" s="111"/>
      <c r="P15" s="111"/>
    </row>
    <row r="16" spans="1:16" ht="22.2" customHeight="1">
      <c r="A16" s="106"/>
      <c r="B16" s="18" t="str">
        <f>tab&amp;" + Thời gian đi: …… giờ ….. ngày …… tháng …… năm 2019."</f>
        <v xml:space="preserve">           + Thời gian đi: …… giờ ….. ngày …… tháng …… năm 2019.</v>
      </c>
      <c r="C16" s="110"/>
      <c r="D16" s="127" t="s">
        <v>195</v>
      </c>
      <c r="E16" s="127" t="s">
        <v>195</v>
      </c>
      <c r="F16" s="127"/>
      <c r="G16" s="127"/>
      <c r="H16" s="127"/>
      <c r="I16" s="127"/>
      <c r="J16" s="106"/>
      <c r="K16" s="112"/>
      <c r="L16" s="108"/>
      <c r="M16" s="108"/>
      <c r="N16" s="108"/>
      <c r="O16" s="111"/>
      <c r="P16" s="111"/>
    </row>
    <row r="17" spans="1:16" ht="22.2" customHeight="1">
      <c r="A17" s="106"/>
      <c r="B17" s="18" t="str">
        <f>tab&amp;" + Thời gian về: …….giờ ….. ngày …… tháng …… năm 2019."</f>
        <v xml:space="preserve">           + Thời gian về: …….giờ ….. ngày …… tháng …… năm 2019.</v>
      </c>
      <c r="C17" s="110"/>
      <c r="D17" s="127"/>
      <c r="E17" s="127"/>
      <c r="F17" s="127"/>
      <c r="G17" s="127"/>
      <c r="H17" s="127"/>
      <c r="I17" s="127"/>
      <c r="J17" s="106"/>
      <c r="K17" s="112"/>
      <c r="L17" s="108"/>
      <c r="M17" s="108"/>
      <c r="N17" s="108"/>
      <c r="O17" s="111"/>
      <c r="P17" s="111"/>
    </row>
    <row r="18" spans="1:16" ht="22.2" customHeight="1">
      <c r="A18" s="106"/>
      <c r="B18" s="126" t="s">
        <v>196</v>
      </c>
      <c r="C18" s="108"/>
      <c r="D18" s="106"/>
      <c r="E18" s="106"/>
      <c r="F18" s="106"/>
      <c r="G18" s="106"/>
      <c r="H18" s="106"/>
      <c r="I18" s="106"/>
      <c r="J18" s="106"/>
      <c r="K18" s="112"/>
      <c r="L18" s="108"/>
      <c r="M18" s="108"/>
      <c r="N18" s="108"/>
      <c r="O18" s="111"/>
      <c r="P18" s="111"/>
    </row>
    <row r="19" spans="1:16" ht="22.2" customHeight="1">
      <c r="A19" s="106"/>
      <c r="B19" s="126" t="s">
        <v>200</v>
      </c>
      <c r="C19" s="108"/>
      <c r="D19" s="106"/>
      <c r="E19" s="106"/>
      <c r="F19" s="106"/>
      <c r="G19" s="106"/>
      <c r="H19" s="106"/>
      <c r="I19" s="106"/>
      <c r="J19" s="106"/>
      <c r="K19" s="112"/>
      <c r="L19" s="108"/>
      <c r="M19" s="108"/>
      <c r="N19" s="108"/>
      <c r="O19" s="111"/>
      <c r="P19" s="111"/>
    </row>
    <row r="20" spans="1:16" ht="22.2" customHeight="1">
      <c r="A20" s="106"/>
      <c r="B20" s="126" t="s">
        <v>174</v>
      </c>
      <c r="C20" s="108"/>
      <c r="D20" s="106"/>
      <c r="E20" s="106"/>
      <c r="F20" s="106"/>
      <c r="G20" s="106"/>
      <c r="H20" s="106"/>
      <c r="I20" s="106"/>
      <c r="J20" s="106"/>
      <c r="K20" s="112"/>
      <c r="L20" s="108"/>
      <c r="M20" s="108"/>
      <c r="N20" s="108"/>
      <c r="O20" s="111"/>
      <c r="P20" s="111"/>
    </row>
    <row r="21" spans="1:16" ht="16.5" customHeight="1">
      <c r="A21" s="106"/>
      <c r="B21" s="107"/>
      <c r="C21" s="108"/>
      <c r="D21" s="128"/>
      <c r="E21" s="129" t="s">
        <v>13</v>
      </c>
      <c r="F21" s="106" t="str">
        <f>VLOOKUP(D4,H:I,2,0)</f>
        <v>PHÒNG TỔNG HỢP</v>
      </c>
      <c r="G21" s="106"/>
      <c r="H21" s="106"/>
      <c r="I21" s="128"/>
      <c r="J21" s="130"/>
      <c r="K21" s="112"/>
      <c r="L21" s="108"/>
      <c r="M21" s="108"/>
      <c r="N21" s="108"/>
      <c r="O21" s="111"/>
      <c r="P21" s="111"/>
    </row>
    <row r="22" spans="1:16" ht="16.5" customHeight="1">
      <c r="A22" s="106"/>
      <c r="B22" s="107"/>
      <c r="C22" s="108"/>
      <c r="D22" s="128"/>
      <c r="E22" s="106"/>
      <c r="F22" s="106"/>
      <c r="G22" s="106"/>
      <c r="H22" s="106"/>
      <c r="I22" s="129"/>
      <c r="J22" s="130"/>
      <c r="K22" s="112"/>
      <c r="L22" s="108"/>
      <c r="M22" s="108"/>
      <c r="N22" s="108"/>
      <c r="O22" s="111"/>
      <c r="P22" s="111"/>
    </row>
    <row r="23" spans="1:16" ht="16.5" customHeight="1">
      <c r="A23" s="106"/>
      <c r="B23" s="107"/>
      <c r="C23" s="108"/>
      <c r="D23" s="106"/>
      <c r="E23" s="106"/>
      <c r="F23" s="106"/>
      <c r="G23" s="106"/>
      <c r="H23" s="106"/>
      <c r="I23" s="131"/>
      <c r="J23" s="106"/>
      <c r="K23" s="112"/>
      <c r="L23" s="108"/>
      <c r="M23" s="108"/>
      <c r="N23" s="108"/>
      <c r="O23" s="111"/>
      <c r="P23" s="111"/>
    </row>
    <row r="24" spans="1:16" ht="16.5" customHeight="1">
      <c r="A24" s="106"/>
      <c r="B24" s="107"/>
      <c r="C24" s="108"/>
      <c r="D24" s="106"/>
      <c r="E24" s="106"/>
      <c r="F24" s="106"/>
      <c r="G24" s="106"/>
      <c r="H24" s="106"/>
      <c r="I24" s="131"/>
      <c r="J24" s="106"/>
      <c r="K24" s="112"/>
      <c r="L24" s="108"/>
      <c r="M24" s="108"/>
      <c r="N24" s="108"/>
      <c r="O24" s="111"/>
      <c r="P24" s="111"/>
    </row>
    <row r="25" spans="1:16" ht="16.5" customHeight="1">
      <c r="A25" s="106"/>
      <c r="B25" s="107"/>
      <c r="C25" s="108"/>
      <c r="D25" s="106"/>
      <c r="E25" s="106"/>
      <c r="F25" s="106"/>
      <c r="G25" s="106"/>
      <c r="H25" s="106"/>
      <c r="I25" s="131"/>
      <c r="J25" s="106"/>
      <c r="K25" s="112"/>
      <c r="L25" s="108"/>
      <c r="M25" s="108"/>
      <c r="N25" s="108"/>
      <c r="O25" s="111"/>
      <c r="P25" s="111"/>
    </row>
    <row r="26" spans="1:16" ht="16.5" customHeight="1">
      <c r="A26" s="106"/>
      <c r="B26" s="107"/>
      <c r="C26" s="108"/>
      <c r="D26" s="106"/>
      <c r="E26" s="106"/>
      <c r="F26" s="106"/>
      <c r="G26" s="106"/>
      <c r="H26" s="106"/>
      <c r="I26" s="129"/>
      <c r="J26" s="106"/>
      <c r="K26" s="112"/>
      <c r="L26" s="108"/>
      <c r="M26" s="108"/>
      <c r="N26" s="108"/>
      <c r="O26" s="111"/>
      <c r="P26" s="111"/>
    </row>
    <row r="27" spans="1:16" ht="16.5" customHeight="1">
      <c r="A27" s="106"/>
      <c r="B27" s="107"/>
      <c r="C27" s="108"/>
      <c r="D27" s="129"/>
      <c r="E27" s="129" t="s">
        <v>80</v>
      </c>
      <c r="F27" s="106"/>
      <c r="G27" s="130"/>
      <c r="H27" s="106"/>
      <c r="I27" s="129"/>
      <c r="J27" s="130"/>
      <c r="K27" s="112"/>
      <c r="L27" s="108"/>
      <c r="M27" s="108"/>
      <c r="N27" s="108"/>
      <c r="O27" s="111"/>
      <c r="P27" s="111"/>
    </row>
    <row r="28" spans="1:16" ht="16.5" customHeight="1">
      <c r="A28" s="106"/>
      <c r="B28" s="107"/>
      <c r="C28" s="108"/>
      <c r="D28" s="106"/>
      <c r="E28" s="137"/>
      <c r="F28" s="106"/>
      <c r="G28" s="106"/>
      <c r="H28" s="106"/>
      <c r="I28" s="106"/>
      <c r="J28" s="106"/>
      <c r="K28" s="112"/>
      <c r="L28" s="108"/>
      <c r="M28" s="108"/>
      <c r="N28" s="108"/>
      <c r="O28" s="111"/>
      <c r="P28" s="111"/>
    </row>
    <row r="29" spans="1:16" ht="16.5" customHeight="1">
      <c r="A29" s="106"/>
      <c r="B29" s="107"/>
      <c r="C29" s="108"/>
      <c r="D29" s="106"/>
      <c r="E29" s="106"/>
      <c r="F29" s="106"/>
      <c r="G29" s="106"/>
      <c r="H29" s="106"/>
      <c r="I29" s="106"/>
      <c r="J29" s="106"/>
      <c r="K29" s="112"/>
      <c r="L29" s="108"/>
      <c r="M29" s="108"/>
      <c r="N29" s="108"/>
      <c r="O29" s="111"/>
      <c r="P29" s="111"/>
    </row>
    <row r="30" spans="1:16" ht="16.5" customHeight="1">
      <c r="A30" s="106"/>
      <c r="B30" s="107"/>
      <c r="C30" s="108"/>
      <c r="D30" s="106"/>
      <c r="E30" s="106"/>
      <c r="F30" s="106"/>
      <c r="G30" s="106"/>
      <c r="H30" s="106"/>
      <c r="I30" s="106"/>
      <c r="J30" s="106"/>
      <c r="K30" s="112"/>
      <c r="L30" s="108"/>
      <c r="M30" s="108"/>
      <c r="N30" s="108"/>
      <c r="O30" s="111"/>
      <c r="P30" s="111"/>
    </row>
    <row r="31" spans="1:16" ht="16.5" customHeight="1">
      <c r="A31" s="106"/>
      <c r="B31" s="107"/>
      <c r="C31" s="108"/>
      <c r="D31" s="106"/>
      <c r="E31" s="106"/>
      <c r="F31" s="106"/>
      <c r="G31" s="106"/>
      <c r="H31" s="106"/>
      <c r="I31" s="106"/>
      <c r="J31" s="106"/>
      <c r="K31" s="112"/>
      <c r="L31" s="108"/>
      <c r="M31" s="108"/>
      <c r="N31" s="108"/>
      <c r="O31" s="111"/>
      <c r="P31" s="111"/>
    </row>
    <row r="32" spans="1:16" ht="16.5" customHeight="1">
      <c r="A32" s="106"/>
      <c r="B32" s="107"/>
      <c r="C32" s="108"/>
      <c r="D32" s="106"/>
      <c r="E32" s="106"/>
      <c r="F32" s="106"/>
      <c r="G32" s="106"/>
      <c r="H32" s="106"/>
      <c r="I32" s="106"/>
      <c r="J32" s="106"/>
      <c r="K32" s="112"/>
      <c r="L32" s="108"/>
      <c r="M32" s="108"/>
      <c r="N32" s="108"/>
      <c r="O32" s="111"/>
      <c r="P32" s="111"/>
    </row>
    <row r="33" spans="1:16" ht="16.5" customHeight="1">
      <c r="A33" s="106"/>
      <c r="B33" s="107"/>
      <c r="C33" s="108"/>
      <c r="D33" s="106"/>
      <c r="E33" s="106"/>
      <c r="F33" s="106"/>
      <c r="G33" s="106"/>
      <c r="H33" s="106"/>
      <c r="I33" s="106"/>
      <c r="J33" s="106"/>
      <c r="K33" s="112"/>
      <c r="L33" s="108"/>
      <c r="M33" s="108"/>
      <c r="N33" s="108"/>
      <c r="O33" s="111"/>
      <c r="P33" s="111"/>
    </row>
    <row r="34" spans="1:16" ht="16.5" customHeight="1">
      <c r="A34" s="106"/>
      <c r="B34" s="107"/>
      <c r="C34" s="108"/>
      <c r="D34" s="106"/>
      <c r="E34" s="106"/>
      <c r="F34" s="106"/>
      <c r="G34" s="106"/>
      <c r="H34" s="106"/>
      <c r="I34" s="106"/>
      <c r="J34" s="106"/>
      <c r="K34" s="112"/>
      <c r="L34" s="108"/>
      <c r="M34" s="108"/>
      <c r="N34" s="108"/>
      <c r="O34" s="111"/>
      <c r="P34" s="111"/>
    </row>
    <row r="35" spans="1:16" ht="16.5" customHeight="1">
      <c r="A35" s="106"/>
      <c r="B35" s="107"/>
      <c r="C35" s="108"/>
      <c r="D35" s="106"/>
      <c r="E35" s="106"/>
      <c r="F35" s="106"/>
      <c r="G35" s="106"/>
      <c r="H35" s="106"/>
      <c r="I35" s="106"/>
      <c r="J35" s="106"/>
      <c r="K35" s="112"/>
      <c r="L35" s="108"/>
      <c r="M35" s="108"/>
      <c r="N35" s="108"/>
      <c r="O35" s="111"/>
      <c r="P35" s="111"/>
    </row>
    <row r="36" spans="1:16" ht="16.5" customHeight="1">
      <c r="A36" s="106"/>
      <c r="B36" s="107"/>
      <c r="C36" s="108"/>
      <c r="D36" s="106"/>
      <c r="E36" s="106"/>
      <c r="F36" s="106"/>
      <c r="G36" s="106"/>
      <c r="H36" s="106"/>
      <c r="I36" s="106"/>
      <c r="J36" s="106"/>
      <c r="K36" s="112"/>
      <c r="L36" s="108"/>
      <c r="M36" s="108"/>
      <c r="N36" s="108"/>
      <c r="O36" s="111"/>
      <c r="P36" s="111"/>
    </row>
    <row r="37" spans="1:16" ht="16.5" customHeight="1">
      <c r="A37" s="106"/>
      <c r="B37" s="107"/>
      <c r="C37" s="108"/>
      <c r="D37" s="106"/>
      <c r="E37" s="106"/>
      <c r="F37" s="106"/>
      <c r="G37" s="106"/>
      <c r="H37" s="106"/>
      <c r="I37" s="106"/>
      <c r="J37" s="106"/>
      <c r="K37" s="112"/>
      <c r="L37" s="108"/>
      <c r="M37" s="108"/>
      <c r="N37" s="108"/>
      <c r="O37" s="111"/>
      <c r="P37" s="111"/>
    </row>
    <row r="38" spans="1:16" ht="16.5" customHeight="1">
      <c r="A38" s="106"/>
      <c r="B38" s="107"/>
      <c r="C38" s="108"/>
      <c r="D38" s="106"/>
      <c r="E38" s="106"/>
      <c r="F38" s="106"/>
      <c r="G38" s="106"/>
      <c r="H38" s="106"/>
      <c r="I38" s="106"/>
      <c r="J38" s="106"/>
      <c r="K38" s="112"/>
      <c r="L38" s="108"/>
      <c r="M38" s="108"/>
      <c r="N38" s="108"/>
      <c r="O38" s="111"/>
      <c r="P38" s="111"/>
    </row>
    <row r="39" spans="1:16" ht="16.5" customHeight="1">
      <c r="A39" s="106"/>
      <c r="B39" s="107"/>
      <c r="C39" s="108"/>
      <c r="D39" s="106"/>
      <c r="E39" s="106"/>
      <c r="F39" s="106"/>
      <c r="G39" s="106"/>
      <c r="H39" s="106"/>
      <c r="I39" s="106"/>
      <c r="J39" s="106"/>
      <c r="K39" s="112"/>
      <c r="L39" s="108"/>
      <c r="M39" s="108"/>
      <c r="N39" s="108"/>
      <c r="O39" s="111"/>
      <c r="P39" s="111"/>
    </row>
    <row r="40" spans="1:16" ht="16.5" customHeight="1">
      <c r="A40" s="106"/>
      <c r="B40" s="107"/>
      <c r="C40" s="108"/>
      <c r="D40" s="106"/>
      <c r="E40" s="106"/>
      <c r="F40" s="106"/>
      <c r="G40" s="106"/>
      <c r="H40" s="106"/>
      <c r="I40" s="106"/>
      <c r="J40" s="106"/>
      <c r="K40" s="112"/>
      <c r="L40" s="108"/>
      <c r="M40" s="108"/>
      <c r="N40" s="108"/>
      <c r="O40" s="111"/>
      <c r="P40" s="111"/>
    </row>
    <row r="41" spans="1:16" ht="16.5" customHeight="1">
      <c r="A41" s="106"/>
      <c r="B41" s="107"/>
      <c r="C41" s="108"/>
      <c r="D41" s="106"/>
      <c r="E41" s="106"/>
      <c r="F41" s="106"/>
      <c r="G41" s="106"/>
      <c r="H41" s="106"/>
      <c r="I41" s="106"/>
      <c r="J41" s="106"/>
      <c r="K41" s="112"/>
      <c r="L41" s="108"/>
      <c r="M41" s="108"/>
      <c r="N41" s="108"/>
      <c r="O41" s="111"/>
      <c r="P41" s="111"/>
    </row>
    <row r="42" spans="1:16" ht="16.5" customHeight="1">
      <c r="A42" s="106"/>
      <c r="B42" s="107"/>
      <c r="C42" s="108"/>
      <c r="D42" s="130"/>
      <c r="E42" s="106"/>
      <c r="F42" s="106"/>
      <c r="G42" s="106"/>
      <c r="H42" s="106"/>
      <c r="I42" s="106"/>
      <c r="J42" s="106"/>
      <c r="K42" s="112"/>
      <c r="L42" s="108"/>
      <c r="M42" s="108"/>
      <c r="N42" s="108"/>
      <c r="O42" s="111"/>
      <c r="P42" s="111"/>
    </row>
    <row r="43" spans="1:16" ht="16.5" customHeight="1">
      <c r="A43" s="106"/>
      <c r="B43" s="107"/>
      <c r="C43" s="108"/>
      <c r="D43" s="119"/>
      <c r="E43" s="106"/>
      <c r="F43" s="106"/>
      <c r="G43" s="106"/>
      <c r="H43" s="106"/>
      <c r="I43" s="106"/>
      <c r="J43" s="106"/>
      <c r="K43" s="112"/>
      <c r="L43" s="108"/>
      <c r="M43" s="108"/>
      <c r="N43" s="108"/>
      <c r="O43" s="111"/>
      <c r="P43" s="111"/>
    </row>
    <row r="44" spans="1:16" ht="16.5" customHeight="1">
      <c r="A44" s="106"/>
      <c r="B44" s="107"/>
      <c r="C44" s="108"/>
      <c r="D44" s="106"/>
      <c r="E44" s="106"/>
      <c r="F44" s="106"/>
      <c r="G44" s="106"/>
      <c r="H44" s="106"/>
      <c r="I44" s="106"/>
      <c r="J44" s="106"/>
      <c r="K44" s="112"/>
      <c r="L44" s="108"/>
      <c r="M44" s="108"/>
      <c r="N44" s="108"/>
      <c r="O44" s="111"/>
      <c r="P44" s="111"/>
    </row>
    <row r="45" spans="1:16" ht="16.5" customHeight="1">
      <c r="A45" s="106"/>
      <c r="B45" s="107"/>
      <c r="C45" s="108"/>
      <c r="D45" s="106"/>
      <c r="E45" s="106"/>
      <c r="F45" s="106"/>
      <c r="G45" s="106"/>
      <c r="H45" s="106"/>
      <c r="I45" s="106"/>
      <c r="J45" s="106"/>
      <c r="K45" s="112"/>
      <c r="L45" s="108"/>
      <c r="M45" s="108"/>
      <c r="N45" s="108"/>
      <c r="O45" s="111"/>
      <c r="P45" s="111"/>
    </row>
    <row r="46" spans="1:16" ht="16.5" customHeight="1">
      <c r="A46" s="106"/>
      <c r="B46" s="107"/>
      <c r="C46" s="108"/>
      <c r="D46" s="106"/>
      <c r="E46" s="106"/>
      <c r="F46" s="106"/>
      <c r="G46" s="106"/>
      <c r="H46" s="106"/>
      <c r="I46" s="106"/>
      <c r="J46" s="106"/>
      <c r="K46" s="112"/>
      <c r="L46" s="108"/>
      <c r="M46" s="108"/>
      <c r="N46" s="108"/>
      <c r="O46" s="111"/>
      <c r="P46" s="111"/>
    </row>
    <row r="47" spans="1:16" ht="16.5" customHeight="1">
      <c r="A47" s="106"/>
      <c r="B47" s="107"/>
      <c r="C47" s="108"/>
      <c r="D47" s="106"/>
      <c r="E47" s="106"/>
      <c r="F47" s="106"/>
      <c r="G47" s="106"/>
      <c r="H47" s="106"/>
      <c r="I47" s="106"/>
      <c r="J47" s="106"/>
      <c r="K47" s="112"/>
      <c r="L47" s="108"/>
      <c r="M47" s="108"/>
      <c r="N47" s="108"/>
      <c r="O47" s="111"/>
      <c r="P47" s="111"/>
    </row>
    <row r="48" spans="1:16" ht="16.5" customHeight="1">
      <c r="A48" s="106"/>
      <c r="B48" s="107"/>
      <c r="C48" s="108"/>
      <c r="D48" s="106"/>
      <c r="E48" s="106"/>
      <c r="F48" s="106"/>
      <c r="G48" s="106"/>
      <c r="H48" s="106"/>
      <c r="I48" s="106"/>
      <c r="J48" s="106"/>
      <c r="K48" s="112"/>
      <c r="L48" s="108"/>
      <c r="M48" s="108"/>
      <c r="N48" s="108"/>
      <c r="O48" s="111"/>
      <c r="P48" s="111"/>
    </row>
    <row r="49" spans="1:16" ht="16.5" customHeight="1">
      <c r="A49" s="106"/>
      <c r="B49" s="107"/>
      <c r="C49" s="108"/>
      <c r="D49" s="106"/>
      <c r="E49" s="106"/>
      <c r="F49" s="106"/>
      <c r="G49" s="106"/>
      <c r="H49" s="106"/>
      <c r="I49" s="106"/>
      <c r="J49" s="106"/>
      <c r="K49" s="112"/>
      <c r="L49" s="108"/>
      <c r="M49" s="108"/>
      <c r="N49" s="108"/>
      <c r="O49" s="111"/>
      <c r="P49" s="111"/>
    </row>
    <row r="50" spans="1:16" ht="16.5" customHeight="1">
      <c r="A50" s="106"/>
      <c r="B50" s="107"/>
      <c r="C50" s="108"/>
      <c r="D50" s="106"/>
      <c r="E50" s="106"/>
      <c r="F50" s="106"/>
      <c r="G50" s="106"/>
      <c r="H50" s="106"/>
      <c r="I50" s="106"/>
      <c r="J50" s="106"/>
      <c r="K50" s="112"/>
      <c r="L50" s="108"/>
      <c r="M50" s="108"/>
      <c r="N50" s="108"/>
      <c r="O50" s="111"/>
      <c r="P50" s="111"/>
    </row>
    <row r="51" spans="1:16" ht="16.5" customHeight="1">
      <c r="A51" s="106"/>
      <c r="B51" s="107"/>
      <c r="C51" s="108"/>
      <c r="D51" s="106"/>
      <c r="E51" s="106"/>
      <c r="F51" s="106"/>
      <c r="G51" s="106"/>
      <c r="H51" s="106"/>
      <c r="I51" s="106"/>
      <c r="J51" s="106"/>
      <c r="K51" s="112"/>
      <c r="L51" s="108"/>
      <c r="M51" s="108"/>
      <c r="N51" s="108"/>
      <c r="O51" s="111"/>
      <c r="P51" s="111"/>
    </row>
    <row r="52" spans="1:16" ht="16.5" customHeight="1">
      <c r="A52" s="106"/>
      <c r="B52" s="107"/>
      <c r="C52" s="108"/>
      <c r="D52" s="106"/>
      <c r="E52" s="106"/>
      <c r="F52" s="106"/>
      <c r="G52" s="106"/>
      <c r="H52" s="106"/>
      <c r="I52" s="106"/>
      <c r="J52" s="106"/>
      <c r="K52" s="112"/>
      <c r="L52" s="108"/>
      <c r="M52" s="108"/>
      <c r="N52" s="108"/>
      <c r="O52" s="111"/>
      <c r="P52" s="111"/>
    </row>
    <row r="53" spans="1:16" ht="16.5" customHeight="1">
      <c r="A53" s="106"/>
      <c r="B53" s="107"/>
      <c r="C53" s="108"/>
      <c r="D53" s="106"/>
      <c r="E53" s="106"/>
      <c r="F53" s="106"/>
      <c r="G53" s="106"/>
      <c r="H53" s="106"/>
      <c r="I53" s="106"/>
      <c r="J53" s="106"/>
      <c r="K53" s="112"/>
      <c r="L53" s="108"/>
      <c r="M53" s="108"/>
      <c r="N53" s="108"/>
      <c r="O53" s="111"/>
      <c r="P53" s="111"/>
    </row>
    <row r="54" spans="1:16" ht="16.5" customHeight="1">
      <c r="A54" s="106"/>
      <c r="B54" s="107"/>
      <c r="C54" s="108"/>
      <c r="D54" s="106"/>
      <c r="E54" s="106"/>
      <c r="F54" s="106"/>
      <c r="G54" s="106"/>
      <c r="H54" s="106"/>
      <c r="I54" s="106"/>
      <c r="J54" s="106"/>
      <c r="K54" s="112"/>
      <c r="L54" s="108"/>
      <c r="M54" s="108"/>
      <c r="N54" s="108"/>
      <c r="O54" s="111"/>
      <c r="P54" s="111"/>
    </row>
    <row r="55" spans="1:16" ht="16.5" customHeight="1">
      <c r="A55" s="106"/>
      <c r="B55" s="107"/>
      <c r="C55" s="108"/>
      <c r="D55" s="106"/>
      <c r="E55" s="106"/>
      <c r="F55" s="106"/>
      <c r="G55" s="106"/>
      <c r="H55" s="106"/>
      <c r="I55" s="106"/>
      <c r="J55" s="106"/>
      <c r="K55" s="112"/>
      <c r="L55" s="108"/>
      <c r="M55" s="108"/>
      <c r="N55" s="108"/>
      <c r="O55" s="111"/>
      <c r="P55" s="111"/>
    </row>
    <row r="56" spans="1:16" ht="16.5" customHeight="1">
      <c r="A56" s="106"/>
      <c r="B56" s="107"/>
      <c r="C56" s="108"/>
      <c r="D56" s="106"/>
      <c r="E56" s="106"/>
      <c r="F56" s="106"/>
      <c r="G56" s="106"/>
      <c r="H56" s="106"/>
      <c r="I56" s="106"/>
      <c r="J56" s="106"/>
      <c r="K56" s="112"/>
      <c r="L56" s="108"/>
      <c r="M56" s="108"/>
      <c r="N56" s="108"/>
      <c r="O56" s="111"/>
      <c r="P56" s="111"/>
    </row>
    <row r="57" spans="1:16" ht="16.5" customHeight="1">
      <c r="A57" s="106"/>
      <c r="B57" s="107"/>
      <c r="C57" s="108"/>
      <c r="D57" s="106"/>
      <c r="E57" s="106"/>
      <c r="F57" s="106"/>
      <c r="G57" s="106"/>
      <c r="H57" s="106"/>
      <c r="I57" s="106"/>
      <c r="J57" s="106"/>
      <c r="K57" s="112"/>
      <c r="L57" s="108"/>
      <c r="M57" s="108"/>
      <c r="N57" s="108"/>
      <c r="O57" s="111"/>
      <c r="P57" s="111"/>
    </row>
    <row r="58" spans="1:16" ht="16.5" customHeight="1">
      <c r="A58" s="106"/>
      <c r="B58" s="107"/>
      <c r="C58" s="108"/>
      <c r="D58" s="106"/>
      <c r="E58" s="106"/>
      <c r="F58" s="106"/>
      <c r="G58" s="106"/>
      <c r="H58" s="106"/>
      <c r="I58" s="106"/>
      <c r="J58" s="106"/>
      <c r="K58" s="112"/>
      <c r="L58" s="108"/>
      <c r="M58" s="108"/>
      <c r="N58" s="108"/>
      <c r="O58" s="111"/>
      <c r="P58" s="111"/>
    </row>
    <row r="59" spans="1:16" ht="16.5" customHeight="1">
      <c r="A59" s="106"/>
      <c r="B59" s="107"/>
      <c r="C59" s="108"/>
      <c r="D59" s="106"/>
      <c r="E59" s="106"/>
      <c r="F59" s="106"/>
      <c r="G59" s="106"/>
      <c r="H59" s="106"/>
      <c r="I59" s="106"/>
      <c r="J59" s="106"/>
      <c r="K59" s="112"/>
      <c r="L59" s="108"/>
      <c r="M59" s="108"/>
      <c r="N59" s="108"/>
      <c r="O59" s="111"/>
      <c r="P59" s="111"/>
    </row>
    <row r="60" spans="1:16" ht="16.5" customHeight="1">
      <c r="A60" s="106"/>
      <c r="B60" s="107"/>
      <c r="C60" s="108"/>
      <c r="D60" s="106"/>
      <c r="E60" s="106"/>
      <c r="F60" s="106"/>
      <c r="G60" s="106"/>
      <c r="H60" s="106"/>
      <c r="I60" s="106"/>
      <c r="J60" s="106"/>
      <c r="K60" s="112"/>
      <c r="L60" s="108"/>
      <c r="M60" s="108"/>
      <c r="N60" s="108"/>
      <c r="O60" s="111"/>
      <c r="P60" s="111"/>
    </row>
    <row r="61" spans="1:16" ht="16.5" customHeight="1">
      <c r="A61" s="106"/>
      <c r="B61" s="107"/>
      <c r="C61" s="108"/>
      <c r="D61" s="106"/>
      <c r="E61" s="106"/>
      <c r="F61" s="106"/>
      <c r="G61" s="106"/>
      <c r="H61" s="106"/>
      <c r="I61" s="106"/>
      <c r="J61" s="106"/>
      <c r="K61" s="112"/>
      <c r="L61" s="108"/>
      <c r="M61" s="108"/>
      <c r="N61" s="108"/>
      <c r="O61" s="111"/>
      <c r="P61" s="111"/>
    </row>
    <row r="62" spans="1:16" ht="16.5" customHeight="1">
      <c r="A62" s="106"/>
      <c r="B62" s="107"/>
      <c r="C62" s="108"/>
      <c r="D62" s="106"/>
      <c r="E62" s="106"/>
      <c r="F62" s="106"/>
      <c r="G62" s="106"/>
      <c r="H62" s="106"/>
      <c r="I62" s="106"/>
      <c r="J62" s="106"/>
      <c r="K62" s="112"/>
      <c r="L62" s="108"/>
      <c r="M62" s="108"/>
      <c r="N62" s="108"/>
      <c r="O62" s="111"/>
      <c r="P62" s="111"/>
    </row>
    <row r="63" spans="1:16" ht="16.5" customHeight="1">
      <c r="A63" s="106"/>
      <c r="B63" s="107"/>
      <c r="C63" s="108"/>
      <c r="D63" s="106"/>
      <c r="E63" s="106"/>
      <c r="F63" s="106"/>
      <c r="G63" s="106"/>
      <c r="H63" s="106"/>
      <c r="I63" s="106"/>
      <c r="J63" s="106"/>
      <c r="K63" s="112"/>
      <c r="L63" s="108"/>
      <c r="M63" s="108"/>
      <c r="N63" s="108"/>
      <c r="O63" s="111"/>
      <c r="P63" s="111"/>
    </row>
    <row r="64" spans="1:16" ht="16.5" customHeight="1">
      <c r="A64" s="106"/>
      <c r="B64" s="107"/>
      <c r="C64" s="108"/>
      <c r="D64" s="106"/>
      <c r="E64" s="106"/>
      <c r="F64" s="106"/>
      <c r="G64" s="106"/>
      <c r="H64" s="106"/>
      <c r="I64" s="106"/>
      <c r="J64" s="106"/>
      <c r="K64" s="112"/>
      <c r="L64" s="108"/>
      <c r="M64" s="108"/>
      <c r="N64" s="108"/>
      <c r="O64" s="111"/>
      <c r="P64" s="111"/>
    </row>
    <row r="65" spans="1:16" ht="16.5" customHeight="1">
      <c r="A65" s="106"/>
      <c r="B65" s="107"/>
      <c r="C65" s="108"/>
      <c r="D65" s="106"/>
      <c r="E65" s="106"/>
      <c r="F65" s="106"/>
      <c r="G65" s="106"/>
      <c r="H65" s="106"/>
      <c r="I65" s="106"/>
      <c r="J65" s="106"/>
      <c r="K65" s="112"/>
      <c r="L65" s="108"/>
      <c r="M65" s="108"/>
      <c r="N65" s="108"/>
      <c r="O65" s="111"/>
      <c r="P65" s="111"/>
    </row>
    <row r="66" spans="1:16" ht="16.5" customHeight="1">
      <c r="A66" s="106"/>
      <c r="B66" s="107"/>
      <c r="C66" s="108"/>
      <c r="D66" s="106"/>
      <c r="E66" s="106"/>
      <c r="F66" s="106"/>
      <c r="G66" s="106"/>
      <c r="H66" s="106"/>
      <c r="I66" s="106"/>
      <c r="J66" s="106"/>
      <c r="K66" s="112"/>
      <c r="L66" s="108"/>
      <c r="M66" s="108"/>
      <c r="N66" s="108"/>
      <c r="O66" s="111"/>
      <c r="P66" s="111"/>
    </row>
    <row r="67" spans="1:16" ht="16.5" customHeight="1">
      <c r="A67" s="106"/>
      <c r="B67" s="107"/>
      <c r="C67" s="108"/>
      <c r="D67" s="106"/>
      <c r="E67" s="106"/>
      <c r="F67" s="106"/>
      <c r="G67" s="106"/>
      <c r="H67" s="106"/>
      <c r="I67" s="106"/>
      <c r="J67" s="106"/>
      <c r="K67" s="112"/>
      <c r="L67" s="108"/>
      <c r="M67" s="108"/>
      <c r="N67" s="108"/>
      <c r="O67" s="111"/>
      <c r="P67" s="111"/>
    </row>
    <row r="68" spans="1:16" ht="16.5" customHeight="1">
      <c r="A68" s="106"/>
      <c r="B68" s="107"/>
      <c r="C68" s="108"/>
      <c r="D68" s="106"/>
      <c r="E68" s="106"/>
      <c r="F68" s="106"/>
      <c r="G68" s="106"/>
      <c r="H68" s="106"/>
      <c r="I68" s="106"/>
      <c r="J68" s="106"/>
      <c r="K68" s="112"/>
      <c r="L68" s="108"/>
      <c r="M68" s="108"/>
      <c r="N68" s="108"/>
      <c r="O68" s="111"/>
      <c r="P68" s="111"/>
    </row>
    <row r="69" spans="1:16" ht="16.5" customHeight="1">
      <c r="A69" s="106"/>
      <c r="B69" s="107"/>
      <c r="C69" s="108"/>
      <c r="D69" s="106"/>
      <c r="E69" s="106"/>
      <c r="F69" s="106"/>
      <c r="G69" s="106"/>
      <c r="H69" s="106"/>
      <c r="I69" s="106"/>
      <c r="J69" s="106"/>
      <c r="K69" s="112"/>
      <c r="L69" s="108"/>
      <c r="M69" s="108"/>
      <c r="N69" s="108"/>
      <c r="O69" s="111"/>
      <c r="P69" s="111"/>
    </row>
    <row r="70" spans="1:16" ht="16.5" customHeight="1">
      <c r="A70" s="106"/>
      <c r="B70" s="107"/>
      <c r="C70" s="108"/>
      <c r="D70" s="106"/>
      <c r="E70" s="106"/>
      <c r="F70" s="106"/>
      <c r="G70" s="106"/>
      <c r="H70" s="106"/>
      <c r="I70" s="106"/>
      <c r="J70" s="106"/>
      <c r="K70" s="112"/>
      <c r="L70" s="108"/>
      <c r="M70" s="108"/>
      <c r="N70" s="108"/>
      <c r="O70" s="111"/>
      <c r="P70" s="111"/>
    </row>
    <row r="71" spans="1:16" ht="16.5" customHeight="1">
      <c r="A71" s="106"/>
      <c r="B71" s="107"/>
      <c r="C71" s="108"/>
      <c r="D71" s="106"/>
      <c r="E71" s="106"/>
      <c r="F71" s="106"/>
      <c r="G71" s="106"/>
      <c r="H71" s="106"/>
      <c r="I71" s="106"/>
      <c r="J71" s="106"/>
      <c r="K71" s="112"/>
      <c r="L71" s="108"/>
      <c r="M71" s="108"/>
      <c r="N71" s="108"/>
      <c r="O71" s="111"/>
      <c r="P71" s="111"/>
    </row>
    <row r="72" spans="1:16" ht="16.5" customHeight="1">
      <c r="A72" s="106"/>
      <c r="B72" s="107"/>
      <c r="C72" s="108"/>
      <c r="D72" s="106"/>
      <c r="E72" s="106"/>
      <c r="F72" s="106"/>
      <c r="G72" s="106"/>
      <c r="H72" s="106"/>
      <c r="I72" s="106"/>
      <c r="J72" s="106"/>
      <c r="K72" s="112"/>
      <c r="L72" s="108"/>
      <c r="M72" s="108"/>
      <c r="N72" s="108"/>
      <c r="O72" s="111"/>
      <c r="P72" s="111"/>
    </row>
    <row r="73" spans="1:16" ht="16.5" customHeight="1">
      <c r="A73" s="106"/>
      <c r="B73" s="107"/>
      <c r="C73" s="108"/>
      <c r="D73" s="106"/>
      <c r="E73" s="106"/>
      <c r="F73" s="106"/>
      <c r="G73" s="106"/>
      <c r="H73" s="106"/>
      <c r="I73" s="106"/>
      <c r="J73" s="106"/>
      <c r="K73" s="112"/>
      <c r="L73" s="108"/>
      <c r="M73" s="108"/>
      <c r="N73" s="108"/>
      <c r="O73" s="111"/>
      <c r="P73" s="111"/>
    </row>
    <row r="74" spans="1:16" ht="16.5" customHeight="1">
      <c r="A74" s="106"/>
      <c r="B74" s="107"/>
      <c r="C74" s="108"/>
      <c r="D74" s="106"/>
      <c r="E74" s="106"/>
      <c r="F74" s="106"/>
      <c r="G74" s="106"/>
      <c r="H74" s="106"/>
      <c r="I74" s="106"/>
      <c r="J74" s="106"/>
      <c r="K74" s="112"/>
      <c r="L74" s="108"/>
      <c r="M74" s="108"/>
      <c r="N74" s="108"/>
      <c r="O74" s="111"/>
      <c r="P74" s="111"/>
    </row>
    <row r="75" spans="1:16" ht="16.5" customHeight="1">
      <c r="A75" s="106"/>
      <c r="B75" s="107"/>
      <c r="C75" s="108"/>
      <c r="D75" s="106"/>
      <c r="E75" s="106"/>
      <c r="F75" s="106"/>
      <c r="G75" s="106"/>
      <c r="H75" s="106"/>
      <c r="I75" s="106"/>
      <c r="J75" s="106"/>
      <c r="K75" s="112"/>
      <c r="L75" s="108"/>
      <c r="M75" s="108"/>
      <c r="N75" s="108"/>
      <c r="O75" s="111"/>
      <c r="P75" s="111"/>
    </row>
    <row r="76" spans="1:16" ht="16.5" customHeight="1">
      <c r="A76" s="106"/>
      <c r="B76" s="107"/>
      <c r="C76" s="108"/>
      <c r="D76" s="106"/>
      <c r="E76" s="106"/>
      <c r="F76" s="106"/>
      <c r="G76" s="106"/>
      <c r="H76" s="106"/>
      <c r="I76" s="106"/>
      <c r="J76" s="106"/>
      <c r="K76" s="112"/>
      <c r="L76" s="108"/>
      <c r="M76" s="108"/>
      <c r="N76" s="108"/>
      <c r="O76" s="111"/>
      <c r="P76" s="111"/>
    </row>
    <row r="77" spans="1:16" ht="16.5" customHeight="1">
      <c r="A77" s="106"/>
      <c r="B77" s="107"/>
      <c r="C77" s="108"/>
      <c r="D77" s="106"/>
      <c r="E77" s="106"/>
      <c r="F77" s="106"/>
      <c r="G77" s="106"/>
      <c r="H77" s="106"/>
      <c r="I77" s="106"/>
      <c r="J77" s="106"/>
      <c r="K77" s="112"/>
      <c r="L77" s="108"/>
      <c r="M77" s="108"/>
      <c r="N77" s="108"/>
      <c r="O77" s="111"/>
      <c r="P77" s="111"/>
    </row>
    <row r="78" spans="1:16" ht="16.5" customHeight="1">
      <c r="A78" s="106"/>
      <c r="B78" s="107"/>
      <c r="C78" s="108"/>
      <c r="D78" s="106"/>
      <c r="E78" s="106"/>
      <c r="F78" s="106"/>
      <c r="G78" s="106"/>
      <c r="H78" s="106"/>
      <c r="I78" s="106"/>
      <c r="J78" s="106"/>
      <c r="K78" s="112"/>
      <c r="L78" s="108"/>
      <c r="M78" s="108"/>
      <c r="N78" s="108"/>
      <c r="O78" s="111"/>
      <c r="P78" s="111"/>
    </row>
    <row r="79" spans="1:16" ht="16.5" customHeight="1">
      <c r="A79" s="106"/>
      <c r="B79" s="107"/>
      <c r="C79" s="108"/>
      <c r="D79" s="106"/>
      <c r="E79" s="106"/>
      <c r="F79" s="106"/>
      <c r="G79" s="106"/>
      <c r="H79" s="106"/>
      <c r="I79" s="106"/>
      <c r="J79" s="106"/>
      <c r="K79" s="112"/>
      <c r="L79" s="108"/>
      <c r="M79" s="108"/>
      <c r="N79" s="108"/>
      <c r="O79" s="111"/>
      <c r="P79" s="111"/>
    </row>
    <row r="80" spans="1:16" ht="16.5" customHeight="1">
      <c r="A80" s="106"/>
      <c r="B80" s="107"/>
      <c r="C80" s="108"/>
      <c r="D80" s="106"/>
      <c r="E80" s="106"/>
      <c r="F80" s="106"/>
      <c r="G80" s="106"/>
      <c r="H80" s="106"/>
      <c r="I80" s="106"/>
      <c r="J80" s="106"/>
      <c r="K80" s="112"/>
      <c r="L80" s="108"/>
      <c r="M80" s="108"/>
      <c r="N80" s="108"/>
      <c r="O80" s="111"/>
      <c r="P80" s="111"/>
    </row>
    <row r="81" spans="1:16" ht="16.5" customHeight="1">
      <c r="A81" s="106"/>
      <c r="B81" s="107"/>
      <c r="C81" s="108"/>
      <c r="D81" s="106"/>
      <c r="E81" s="106"/>
      <c r="F81" s="106"/>
      <c r="G81" s="106"/>
      <c r="H81" s="106"/>
      <c r="I81" s="106"/>
      <c r="J81" s="106"/>
      <c r="K81" s="112"/>
      <c r="L81" s="108"/>
      <c r="M81" s="108"/>
      <c r="N81" s="108"/>
      <c r="O81" s="111"/>
      <c r="P81" s="111"/>
    </row>
    <row r="82" spans="1:16" ht="16.5" customHeight="1">
      <c r="A82" s="106"/>
      <c r="B82" s="107"/>
      <c r="C82" s="108"/>
      <c r="D82" s="106"/>
      <c r="E82" s="106"/>
      <c r="F82" s="106"/>
      <c r="G82" s="106"/>
      <c r="H82" s="106"/>
      <c r="I82" s="106"/>
      <c r="J82" s="106"/>
      <c r="K82" s="112"/>
      <c r="L82" s="108"/>
      <c r="M82" s="108"/>
      <c r="N82" s="108"/>
      <c r="O82" s="111"/>
      <c r="P82" s="111"/>
    </row>
    <row r="83" spans="1:16" ht="16.5" customHeight="1">
      <c r="A83" s="106"/>
      <c r="B83" s="107"/>
      <c r="C83" s="108"/>
      <c r="D83" s="106"/>
      <c r="E83" s="106"/>
      <c r="F83" s="106"/>
      <c r="G83" s="106"/>
      <c r="H83" s="106"/>
      <c r="I83" s="106"/>
      <c r="J83" s="106"/>
      <c r="K83" s="112"/>
      <c r="L83" s="108"/>
      <c r="M83" s="108"/>
      <c r="N83" s="108"/>
      <c r="O83" s="111"/>
      <c r="P83" s="111"/>
    </row>
    <row r="84" spans="1:16" ht="16.5" customHeight="1">
      <c r="A84" s="106"/>
      <c r="B84" s="107"/>
      <c r="C84" s="108"/>
      <c r="D84" s="106"/>
      <c r="E84" s="106"/>
      <c r="F84" s="106"/>
      <c r="G84" s="106"/>
      <c r="H84" s="106"/>
      <c r="I84" s="106"/>
      <c r="J84" s="106"/>
      <c r="K84" s="112"/>
      <c r="L84" s="108"/>
      <c r="M84" s="108"/>
      <c r="N84" s="108"/>
      <c r="O84" s="111"/>
      <c r="P84" s="111"/>
    </row>
    <row r="85" spans="1:16" ht="16.5" customHeight="1">
      <c r="A85" s="106"/>
      <c r="B85" s="107"/>
      <c r="C85" s="108"/>
      <c r="D85" s="106"/>
      <c r="E85" s="106"/>
      <c r="F85" s="106"/>
      <c r="G85" s="106"/>
      <c r="H85" s="106"/>
      <c r="I85" s="106"/>
      <c r="J85" s="106"/>
      <c r="K85" s="112"/>
      <c r="L85" s="108"/>
      <c r="M85" s="108"/>
      <c r="N85" s="108"/>
      <c r="O85" s="111"/>
      <c r="P85" s="111"/>
    </row>
    <row r="86" spans="1:16" ht="16.5" customHeight="1">
      <c r="A86" s="106"/>
      <c r="B86" s="107"/>
      <c r="C86" s="108"/>
      <c r="D86" s="106"/>
      <c r="E86" s="106"/>
      <c r="F86" s="106"/>
      <c r="G86" s="106"/>
      <c r="H86" s="106"/>
      <c r="I86" s="106"/>
      <c r="J86" s="106"/>
      <c r="K86" s="112"/>
      <c r="L86" s="108"/>
      <c r="M86" s="108"/>
      <c r="N86" s="108"/>
      <c r="O86" s="111"/>
      <c r="P86" s="111"/>
    </row>
    <row r="87" spans="1:16" ht="16.5" customHeight="1">
      <c r="A87" s="106"/>
      <c r="B87" s="107"/>
      <c r="C87" s="108"/>
      <c r="D87" s="106"/>
      <c r="E87" s="106"/>
      <c r="F87" s="106"/>
      <c r="G87" s="106"/>
      <c r="H87" s="106"/>
      <c r="I87" s="106"/>
      <c r="J87" s="106"/>
      <c r="K87" s="112"/>
      <c r="L87" s="108"/>
      <c r="M87" s="108"/>
      <c r="N87" s="108"/>
      <c r="O87" s="111"/>
      <c r="P87" s="111"/>
    </row>
    <row r="88" spans="1:16" ht="16.5" customHeight="1">
      <c r="A88" s="106"/>
      <c r="B88" s="107"/>
      <c r="C88" s="108"/>
      <c r="D88" s="106"/>
      <c r="E88" s="106"/>
      <c r="F88" s="106"/>
      <c r="G88" s="106"/>
      <c r="H88" s="106"/>
      <c r="I88" s="106"/>
      <c r="J88" s="106"/>
      <c r="K88" s="112"/>
      <c r="L88" s="108"/>
      <c r="M88" s="108"/>
      <c r="N88" s="108"/>
      <c r="O88" s="111"/>
      <c r="P88" s="111"/>
    </row>
    <row r="89" spans="1:16" ht="16.5" customHeight="1">
      <c r="A89" s="106"/>
      <c r="B89" s="107"/>
      <c r="C89" s="108"/>
      <c r="D89" s="106"/>
      <c r="E89" s="106"/>
      <c r="F89" s="106"/>
      <c r="G89" s="106"/>
      <c r="H89" s="106"/>
      <c r="I89" s="106"/>
      <c r="J89" s="106"/>
      <c r="K89" s="112"/>
      <c r="L89" s="108"/>
      <c r="M89" s="108"/>
      <c r="N89" s="108"/>
      <c r="O89" s="111"/>
      <c r="P89" s="111"/>
    </row>
    <row r="90" spans="1:16" ht="16.5" customHeight="1">
      <c r="A90" s="106"/>
      <c r="B90" s="107"/>
      <c r="C90" s="108"/>
      <c r="D90" s="106"/>
      <c r="E90" s="106"/>
      <c r="F90" s="106"/>
      <c r="G90" s="106"/>
      <c r="H90" s="106"/>
      <c r="I90" s="106"/>
      <c r="J90" s="106"/>
      <c r="K90" s="112"/>
      <c r="L90" s="108"/>
      <c r="M90" s="108"/>
      <c r="N90" s="108"/>
      <c r="O90" s="111"/>
      <c r="P90" s="111"/>
    </row>
    <row r="91" spans="1:16" ht="16.5" customHeight="1">
      <c r="A91" s="106"/>
      <c r="B91" s="107"/>
      <c r="C91" s="108"/>
      <c r="D91" s="106"/>
      <c r="E91" s="106"/>
      <c r="F91" s="106"/>
      <c r="G91" s="106"/>
      <c r="H91" s="106"/>
      <c r="I91" s="106"/>
      <c r="J91" s="106"/>
      <c r="K91" s="112"/>
      <c r="L91" s="108"/>
      <c r="M91" s="108"/>
      <c r="N91" s="108"/>
      <c r="O91" s="111"/>
      <c r="P91" s="111"/>
    </row>
    <row r="92" spans="1:16" ht="16.5" customHeight="1">
      <c r="A92" s="106"/>
      <c r="B92" s="107"/>
      <c r="C92" s="108"/>
      <c r="D92" s="106"/>
      <c r="E92" s="106"/>
      <c r="F92" s="106"/>
      <c r="G92" s="106"/>
      <c r="H92" s="106"/>
      <c r="I92" s="106"/>
      <c r="J92" s="106"/>
      <c r="K92" s="112"/>
      <c r="L92" s="108"/>
      <c r="M92" s="108"/>
      <c r="N92" s="108"/>
      <c r="O92" s="111"/>
      <c r="P92" s="111"/>
    </row>
    <row r="93" spans="1:16" ht="16.5" customHeight="1">
      <c r="A93" s="106"/>
      <c r="B93" s="107"/>
      <c r="C93" s="108"/>
      <c r="D93" s="106"/>
      <c r="E93" s="106"/>
      <c r="F93" s="106"/>
      <c r="G93" s="106"/>
      <c r="H93" s="106"/>
      <c r="I93" s="106"/>
      <c r="J93" s="106"/>
      <c r="K93" s="112"/>
      <c r="L93" s="108"/>
      <c r="M93" s="108"/>
      <c r="N93" s="108"/>
      <c r="O93" s="111"/>
      <c r="P93" s="111"/>
    </row>
    <row r="94" spans="1:16" ht="16.5" customHeight="1">
      <c r="A94" s="106"/>
      <c r="B94" s="107"/>
      <c r="C94" s="108"/>
      <c r="D94" s="106"/>
      <c r="E94" s="106"/>
      <c r="F94" s="106"/>
      <c r="G94" s="106"/>
      <c r="H94" s="106"/>
      <c r="I94" s="106"/>
      <c r="J94" s="106"/>
      <c r="K94" s="112"/>
      <c r="L94" s="108"/>
      <c r="M94" s="108"/>
      <c r="N94" s="108"/>
      <c r="O94" s="111"/>
      <c r="P94" s="111"/>
    </row>
    <row r="95" spans="1:16" ht="16.5" customHeight="1">
      <c r="A95" s="106"/>
      <c r="B95" s="107"/>
      <c r="C95" s="108"/>
      <c r="D95" s="106"/>
      <c r="E95" s="106"/>
      <c r="F95" s="106"/>
      <c r="G95" s="106"/>
      <c r="H95" s="106"/>
      <c r="I95" s="106"/>
      <c r="J95" s="106"/>
      <c r="K95" s="112"/>
      <c r="L95" s="108"/>
      <c r="M95" s="108"/>
      <c r="N95" s="108"/>
      <c r="O95" s="111"/>
      <c r="P95" s="111"/>
    </row>
    <row r="96" spans="1:16" ht="16.5" customHeight="1">
      <c r="A96" s="106"/>
      <c r="B96" s="107"/>
      <c r="C96" s="108"/>
      <c r="D96" s="106"/>
      <c r="E96" s="106"/>
      <c r="F96" s="106"/>
      <c r="G96" s="106"/>
      <c r="H96" s="106"/>
      <c r="I96" s="106"/>
      <c r="J96" s="106"/>
      <c r="K96" s="112"/>
      <c r="L96" s="108"/>
      <c r="M96" s="108"/>
      <c r="N96" s="108"/>
      <c r="O96" s="111"/>
      <c r="P96" s="111"/>
    </row>
    <row r="97" spans="1:16" ht="16.5" customHeight="1">
      <c r="A97" s="106"/>
      <c r="B97" s="107"/>
      <c r="C97" s="108"/>
      <c r="D97" s="106"/>
      <c r="E97" s="106"/>
      <c r="F97" s="106"/>
      <c r="G97" s="106"/>
      <c r="H97" s="106"/>
      <c r="I97" s="106"/>
      <c r="J97" s="106"/>
      <c r="K97" s="112"/>
      <c r="L97" s="108"/>
      <c r="M97" s="108"/>
      <c r="N97" s="108"/>
      <c r="O97" s="111"/>
      <c r="P97" s="111"/>
    </row>
    <row r="98" spans="1:16" ht="16.5" customHeight="1">
      <c r="A98" s="106"/>
      <c r="B98" s="107"/>
      <c r="C98" s="108"/>
      <c r="D98" s="106"/>
      <c r="E98" s="106"/>
      <c r="F98" s="106"/>
      <c r="G98" s="106"/>
      <c r="H98" s="106"/>
      <c r="I98" s="106"/>
      <c r="J98" s="106"/>
      <c r="K98" s="112"/>
      <c r="L98" s="108"/>
      <c r="M98" s="108"/>
      <c r="N98" s="108"/>
      <c r="O98" s="111"/>
      <c r="P98" s="111"/>
    </row>
    <row r="99" spans="1:16" ht="16.5" customHeight="1">
      <c r="A99" s="106"/>
      <c r="B99" s="107"/>
      <c r="C99" s="108"/>
      <c r="D99" s="106"/>
      <c r="E99" s="106"/>
      <c r="F99" s="106"/>
      <c r="G99" s="106"/>
      <c r="H99" s="106"/>
      <c r="I99" s="106"/>
      <c r="J99" s="106"/>
      <c r="K99" s="112"/>
      <c r="L99" s="108"/>
      <c r="M99" s="108"/>
      <c r="N99" s="108"/>
      <c r="O99" s="111"/>
      <c r="P99" s="111"/>
    </row>
    <row r="100" spans="1:16" ht="16.5" customHeight="1">
      <c r="A100" s="106"/>
      <c r="B100" s="107"/>
      <c r="C100" s="108"/>
      <c r="D100" s="106"/>
      <c r="E100" s="106"/>
      <c r="F100" s="106"/>
      <c r="G100" s="106"/>
      <c r="H100" s="106"/>
      <c r="I100" s="106"/>
      <c r="J100" s="106"/>
      <c r="K100" s="112"/>
      <c r="L100" s="108"/>
      <c r="M100" s="108"/>
      <c r="N100" s="108"/>
      <c r="O100" s="111"/>
      <c r="P100" s="111"/>
    </row>
    <row r="101" spans="1:16" ht="16.5" customHeight="1">
      <c r="A101" s="106"/>
      <c r="B101" s="107"/>
      <c r="C101" s="108"/>
      <c r="D101" s="106"/>
      <c r="E101" s="106"/>
      <c r="F101" s="106"/>
      <c r="G101" s="106"/>
      <c r="H101" s="106"/>
      <c r="I101" s="106"/>
      <c r="J101" s="106"/>
      <c r="K101" s="112"/>
      <c r="L101" s="108"/>
      <c r="M101" s="108"/>
      <c r="N101" s="108"/>
      <c r="O101" s="111"/>
      <c r="P101" s="111"/>
    </row>
  </sheetData>
  <dataValidations count="13">
    <dataValidation type="list" allowBlank="1" showErrorMessage="1" sqref="E21">
      <formula1>"ĐỘI TRƯỞNG,TRƯỞNG PHÒNG,KT. ĐỘI TRƯỞNG,PHÓ ĐỘI TRƯỞNG,Nguyễn Đình Thuận,Đinh Văn Vinh"</formula1>
    </dataValidation>
    <dataValidation type="list" allowBlank="1" showErrorMessage="1" sqref="D21:D22">
      <formula1>"GIÁM ĐỐC,PHÓ GIÁM ĐỐC,KT. GIÁM ĐỐC"</formula1>
    </dataValidation>
    <dataValidation type="list" allowBlank="1" showErrorMessage="1" sqref="J21:J22">
      <formula1>$K$21:$K$26</formula1>
    </dataValidation>
    <dataValidation type="list" allowBlank="1" showErrorMessage="1" sqref="C12">
      <formula1>"1.0,2.0,3
3"</formula1>
    </dataValidation>
    <dataValidation type="list" allowBlank="1" showErrorMessage="1" sqref="G27">
      <formula1>$D$42:$D$43</formula1>
    </dataValidation>
    <dataValidation type="list" allowBlank="1" showErrorMessage="1" sqref="A12">
      <formula1>"1.0,111.0"</formula1>
    </dataValidation>
    <dataValidation type="list" allowBlank="1" showErrorMessage="1" sqref="D27">
      <formula1>"Nguyễn Vĩnh Tuấn,Nguyễn Trọng Nghĩa"</formula1>
    </dataValidation>
    <dataValidation type="list" allowBlank="1" showErrorMessage="1" sqref="I22 I26:I27">
      <formula1>"Q. ĐỘI TRƯỞNG,KT. ĐỘI TRƯỞNG,PHÓ ĐỘI TRƯỞNG,Nguyễn Đình Thuận,Đinh Văn Vinh"</formula1>
    </dataValidation>
    <dataValidation type="list" allowBlank="1" showErrorMessage="1" sqref="I21">
      <formula1>"ĐỘI TRƯỞNG,KT. ĐỘI TRƯỞNG,PHÓ ĐỘI TRƯỞNG,Nguyễn Đình Thuận,Đinh Văn Vinh"</formula1>
    </dataValidation>
    <dataValidation type="list" allowBlank="1" showErrorMessage="1" sqref="K10">
      <formula1>"1.0,AAAAAAA,AAAAAAAAAAA"</formula1>
    </dataValidation>
    <dataValidation type="list" allowBlank="1" sqref="K12">
      <formula1>"1.0,AAAAAAA,AAAAAAAAAAA"</formula1>
    </dataValidation>
    <dataValidation type="list" allowBlank="1" showErrorMessage="1" sqref="M12">
      <formula1>"abc,aaaaaaaaaaaaaaaaaa"</formula1>
    </dataValidation>
    <dataValidation type="list" showDropDown="1" sqref="E27">
      <formula1>"Q. ĐỘI TRƯỞNG,KT. ĐỘI TRƯỞNG,PHÓ ĐỘI TRƯỞNG,Nguyễn Đình Thuận,Đinh Văn Vinh"</formula1>
    </dataValidation>
  </dataValidations>
  <pageMargins left="0.68" right="0.4" top="0.75" bottom="0.39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7" sqref="L27"/>
    </sheetView>
  </sheetViews>
  <sheetFormatPr defaultRowHeight="14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F13"/>
  <sheetViews>
    <sheetView workbookViewId="0">
      <selection activeCell="D14" sqref="D14"/>
    </sheetView>
  </sheetViews>
  <sheetFormatPr defaultRowHeight="14.4"/>
  <cols>
    <col min="4" max="4" width="20.21875" style="42" bestFit="1" customWidth="1"/>
    <col min="5" max="5" width="18.109375" bestFit="1" customWidth="1"/>
    <col min="6" max="6" width="12.5546875" bestFit="1" customWidth="1"/>
  </cols>
  <sheetData>
    <row r="1" spans="4:6" ht="33.6">
      <c r="D1" s="40" t="s">
        <v>138</v>
      </c>
      <c r="E1" s="6" t="s">
        <v>21</v>
      </c>
      <c r="F1" s="7" t="s">
        <v>22</v>
      </c>
    </row>
    <row r="2" spans="4:6" ht="16.8">
      <c r="D2" s="33">
        <v>43577</v>
      </c>
      <c r="E2" s="82">
        <v>974351</v>
      </c>
      <c r="F2" s="25">
        <v>25</v>
      </c>
    </row>
    <row r="3" spans="4:6" ht="16.8">
      <c r="D3" s="33">
        <v>43577</v>
      </c>
      <c r="E3" s="82">
        <v>978409</v>
      </c>
      <c r="F3" s="25">
        <v>25</v>
      </c>
    </row>
    <row r="4" spans="4:6" ht="16.8">
      <c r="D4" s="33">
        <v>43577</v>
      </c>
      <c r="E4" s="82">
        <v>1010399</v>
      </c>
      <c r="F4" s="25">
        <v>10</v>
      </c>
    </row>
    <row r="5" spans="4:6" ht="16.8">
      <c r="D5" s="33">
        <v>43577</v>
      </c>
      <c r="E5" s="82">
        <v>960075</v>
      </c>
      <c r="F5" s="25">
        <v>10</v>
      </c>
    </row>
    <row r="6" spans="4:6" ht="16.8">
      <c r="D6" s="33">
        <v>43577</v>
      </c>
      <c r="E6" s="82">
        <v>65694</v>
      </c>
      <c r="F6" s="25">
        <v>15</v>
      </c>
    </row>
    <row r="7" spans="4:6" ht="16.8">
      <c r="D7" s="33">
        <v>43577</v>
      </c>
      <c r="E7" s="82">
        <v>3350</v>
      </c>
      <c r="F7" s="25">
        <v>15</v>
      </c>
    </row>
    <row r="8" spans="4:6" ht="16.8">
      <c r="D8" s="33">
        <v>43577</v>
      </c>
      <c r="E8" s="82">
        <v>29225</v>
      </c>
      <c r="F8" s="25">
        <v>10</v>
      </c>
    </row>
    <row r="9" spans="4:6" ht="16.8">
      <c r="D9" s="33">
        <v>43577</v>
      </c>
      <c r="E9" s="82">
        <v>91360</v>
      </c>
      <c r="F9" s="25">
        <v>10</v>
      </c>
    </row>
    <row r="10" spans="4:6" ht="16.8">
      <c r="D10" s="33">
        <v>43560</v>
      </c>
      <c r="E10" s="82">
        <v>1414177</v>
      </c>
      <c r="F10" s="25">
        <v>25</v>
      </c>
    </row>
    <row r="11" spans="4:6" ht="16.8">
      <c r="D11" s="42">
        <v>43560</v>
      </c>
      <c r="E11" s="138">
        <v>1418959</v>
      </c>
      <c r="F11" s="139">
        <v>25</v>
      </c>
    </row>
    <row r="12" spans="4:6" ht="16.8">
      <c r="D12" s="42">
        <v>43579</v>
      </c>
      <c r="E12" s="138">
        <v>950721</v>
      </c>
      <c r="F12" s="139">
        <v>25</v>
      </c>
    </row>
    <row r="13" spans="4:6" ht="16.8">
      <c r="D13" s="42">
        <v>43579</v>
      </c>
      <c r="E13" s="138">
        <v>1459227</v>
      </c>
      <c r="F13" s="139">
        <v>25</v>
      </c>
    </row>
  </sheetData>
  <autoFilter ref="D1:F26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data</vt:lpstr>
      <vt:lpstr>TTrCDB</vt:lpstr>
      <vt:lpstr>BangKe</vt:lpstr>
      <vt:lpstr>BangKe_None</vt:lpstr>
      <vt:lpstr>RuaXe</vt:lpstr>
      <vt:lpstr>Ungdau</vt:lpstr>
      <vt:lpstr>DieuXe</vt:lpstr>
      <vt:lpstr>GiayDieuXe</vt:lpstr>
      <vt:lpstr>Xin xe</vt:lpstr>
      <vt:lpstr>XinXeNone</vt:lpstr>
      <vt:lpstr>DanhMuc</vt:lpstr>
      <vt:lpstr>drap</vt:lpstr>
      <vt:lpstr>CongTac</vt:lpstr>
      <vt:lpstr>dieuxe</vt:lpstr>
      <vt:lpstr>Gio_di</vt:lpstr>
      <vt:lpstr>GioDen</vt:lpstr>
      <vt:lpstr>loaixe</vt:lpstr>
      <vt:lpstr>NgayDen</vt:lpstr>
      <vt:lpstr>NgayDi</vt:lpstr>
      <vt:lpstr>NgayXin</vt:lpstr>
      <vt:lpstr>NoiDen</vt:lpstr>
      <vt:lpstr>Phong_xin</vt:lpstr>
      <vt:lpstr>BangKe!Print_Area</vt:lpstr>
      <vt:lpstr>BangKe_None!Print_Area</vt:lpstr>
      <vt:lpstr>GiayDieuXe!Print_Area</vt:lpstr>
      <vt:lpstr>TTrCDB!Print_Area</vt:lpstr>
      <vt:lpstr>Ungdau!Print_Area</vt:lpstr>
      <vt:lpstr>XinXeNone!Print_Area</vt:lpstr>
      <vt:lpstr>BangKe!Print_Titles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THUC</dc:creator>
  <cp:lastModifiedBy>THUCSPC</cp:lastModifiedBy>
  <cp:lastPrinted>2019-10-10T03:20:24Z</cp:lastPrinted>
  <dcterms:created xsi:type="dcterms:W3CDTF">2018-05-08T08:22:35Z</dcterms:created>
  <dcterms:modified xsi:type="dcterms:W3CDTF">2019-10-28T09:50:38Z</dcterms:modified>
</cp:coreProperties>
</file>